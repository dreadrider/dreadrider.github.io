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放物線" sheetId="1" r:id="rId1"/>
    <sheet name="軌道" sheetId="2" r:id="rId2"/>
    <sheet name="論理式の合計" sheetId="3" r:id="rId3"/>
    <sheet name="ソルバー" sheetId="4" r:id="rId4"/>
    <sheet name="エクセル練習" sheetId="5" r:id="rId5"/>
    <sheet name="マクロ練習" sheetId="6" r:id="rId6"/>
  </sheets>
  <calcPr calcId="145621"/>
</workbook>
</file>

<file path=xl/calcChain.xml><?xml version="1.0" encoding="utf-8"?>
<calcChain xmlns="http://schemas.openxmlformats.org/spreadsheetml/2006/main">
  <c r="A41" i="5" l="1"/>
  <c r="A40" i="5"/>
  <c r="A39" i="5"/>
  <c r="A36" i="5"/>
  <c r="A35" i="5"/>
  <c r="A34" i="5"/>
  <c r="A33" i="5"/>
  <c r="A32" i="5"/>
  <c r="A31" i="5"/>
  <c r="A29" i="5"/>
  <c r="A27" i="5"/>
  <c r="A26" i="5"/>
  <c r="A25" i="5"/>
  <c r="A24" i="5"/>
  <c r="A23" i="5"/>
  <c r="A21" i="5"/>
  <c r="A20" i="5"/>
  <c r="I18" i="5"/>
  <c r="I19" i="5" s="1"/>
  <c r="I20" i="5" s="1"/>
  <c r="G18" i="5"/>
  <c r="H18" i="5" s="1" a="1"/>
  <c r="H18" i="5" s="1"/>
  <c r="F18" i="5"/>
  <c r="E18" i="5"/>
  <c r="A18" i="5"/>
  <c r="C6" i="5"/>
  <c r="E5" i="5"/>
  <c r="D5" i="5"/>
  <c r="C5" i="5"/>
  <c r="B5" i="5"/>
  <c r="B6" i="5" s="1"/>
  <c r="B7" i="5" s="1"/>
  <c r="B8" i="5" s="1"/>
  <c r="B9" i="5" s="1"/>
  <c r="B10" i="5" s="1"/>
  <c r="B11" i="5" s="1"/>
  <c r="B12" i="5" s="1"/>
  <c r="B13" i="5" s="1"/>
  <c r="B14" i="5" s="1"/>
  <c r="B1" i="5"/>
  <c r="D2" i="5" s="1"/>
  <c r="B2" i="4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C25" i="1"/>
  <c r="E46" i="2"/>
  <c r="B46" i="2"/>
  <c r="A46" i="2"/>
  <c r="C46" i="2" s="1"/>
  <c r="E45" i="2"/>
  <c r="D45" i="2"/>
  <c r="C45" i="2"/>
  <c r="B45" i="2"/>
  <c r="E8" i="2"/>
  <c r="C8" i="2"/>
  <c r="C7" i="2"/>
  <c r="B7" i="2"/>
  <c r="A7" i="2"/>
  <c r="A8" i="2" s="1"/>
  <c r="A6" i="2"/>
  <c r="E6" i="2" s="1"/>
  <c r="E5" i="2"/>
  <c r="C5" i="2"/>
  <c r="B5" i="2"/>
  <c r="A5" i="2"/>
  <c r="D5" i="2" s="1"/>
  <c r="B16" i="3"/>
  <c r="J9" i="3"/>
  <c r="I9" i="3"/>
  <c r="H9" i="3"/>
  <c r="G9" i="3"/>
  <c r="F9" i="3"/>
  <c r="E9" i="3"/>
  <c r="D9" i="3"/>
  <c r="C9" i="3"/>
  <c r="C10" i="3" s="1"/>
  <c r="J4" i="3"/>
  <c r="I4" i="3"/>
  <c r="H4" i="3"/>
  <c r="G4" i="3"/>
  <c r="F4" i="3"/>
  <c r="E4" i="3"/>
  <c r="D4" i="3"/>
  <c r="C4" i="3"/>
  <c r="C5" i="3" s="1"/>
  <c r="C7" i="5" l="1"/>
  <c r="C8" i="5" s="1"/>
  <c r="C9" i="5" s="1"/>
  <c r="C1" i="5"/>
  <c r="D1" i="5"/>
  <c r="C2" i="5"/>
  <c r="B7" i="1"/>
  <c r="C12" i="1"/>
  <c r="B15" i="1"/>
  <c r="C20" i="1"/>
  <c r="B23" i="1"/>
  <c r="C7" i="1"/>
  <c r="B10" i="1"/>
  <c r="C15" i="1"/>
  <c r="B18" i="1"/>
  <c r="C23" i="1"/>
  <c r="B5" i="1"/>
  <c r="C10" i="1"/>
  <c r="B13" i="1"/>
  <c r="C18" i="1"/>
  <c r="B21" i="1"/>
  <c r="C5" i="1"/>
  <c r="B8" i="1"/>
  <c r="C13" i="1"/>
  <c r="B16" i="1"/>
  <c r="C21" i="1"/>
  <c r="B24" i="1"/>
  <c r="C8" i="1"/>
  <c r="B11" i="1"/>
  <c r="C16" i="1"/>
  <c r="B19" i="1"/>
  <c r="C24" i="1"/>
  <c r="B6" i="1"/>
  <c r="C11" i="1"/>
  <c r="B14" i="1"/>
  <c r="C19" i="1"/>
  <c r="B22" i="1"/>
  <c r="C6" i="1"/>
  <c r="B9" i="1"/>
  <c r="C14" i="1"/>
  <c r="B17" i="1"/>
  <c r="C22" i="1"/>
  <c r="B25" i="1"/>
  <c r="C9" i="1"/>
  <c r="B12" i="1"/>
  <c r="C17" i="1"/>
  <c r="B20" i="1"/>
  <c r="H45" i="2"/>
  <c r="B8" i="2"/>
  <c r="D8" i="2"/>
  <c r="A9" i="2"/>
  <c r="F5" i="2"/>
  <c r="G5" i="2" s="1"/>
  <c r="B6" i="2"/>
  <c r="D7" i="2"/>
  <c r="E7" i="2"/>
  <c r="C6" i="2"/>
  <c r="D6" i="2"/>
  <c r="F45" i="2"/>
  <c r="G45" i="2"/>
  <c r="I45" i="2" s="1" a="1"/>
  <c r="D46" i="2"/>
  <c r="A47" i="2"/>
  <c r="C6" i="3"/>
  <c r="D5" i="3"/>
  <c r="C11" i="3"/>
  <c r="D10" i="3"/>
  <c r="F5" i="5" l="1" a="1"/>
  <c r="C10" i="5"/>
  <c r="F46" i="2"/>
  <c r="H46" i="2" s="1"/>
  <c r="F6" i="2"/>
  <c r="H6" i="2" s="1"/>
  <c r="H5" i="2"/>
  <c r="I5" i="2" s="1" a="1"/>
  <c r="J45" i="2"/>
  <c r="I45" i="2"/>
  <c r="F7" i="2"/>
  <c r="G7" i="2"/>
  <c r="I7" i="2" s="1" a="1"/>
  <c r="D9" i="2"/>
  <c r="A10" i="2"/>
  <c r="C9" i="2"/>
  <c r="E9" i="2"/>
  <c r="B9" i="2"/>
  <c r="E47" i="2"/>
  <c r="D47" i="2"/>
  <c r="A48" i="2"/>
  <c r="B47" i="2"/>
  <c r="C47" i="2"/>
  <c r="H7" i="2"/>
  <c r="F8" i="2"/>
  <c r="H8" i="2" s="1"/>
  <c r="E10" i="3"/>
  <c r="C15" i="3"/>
  <c r="D11" i="3"/>
  <c r="D15" i="3" s="1"/>
  <c r="E5" i="3"/>
  <c r="E6" i="3" s="1"/>
  <c r="E14" i="3" s="1"/>
  <c r="C14" i="3"/>
  <c r="D6" i="3"/>
  <c r="D14" i="3" s="1"/>
  <c r="G5" i="5" l="1"/>
  <c r="E6" i="5" s="1"/>
  <c r="F5" i="5"/>
  <c r="C11" i="5"/>
  <c r="C12" i="5" s="1"/>
  <c r="I5" i="2"/>
  <c r="J5" i="2"/>
  <c r="A49" i="2"/>
  <c r="B48" i="2"/>
  <c r="E48" i="2"/>
  <c r="D48" i="2"/>
  <c r="C48" i="2"/>
  <c r="I7" i="2"/>
  <c r="J7" i="2"/>
  <c r="F47" i="2"/>
  <c r="G47" i="2" s="1"/>
  <c r="I47" i="2" s="1" a="1"/>
  <c r="M45" i="2"/>
  <c r="K45" i="2"/>
  <c r="L45" i="2"/>
  <c r="N45" i="2"/>
  <c r="G8" i="2"/>
  <c r="I8" i="2" s="1" a="1"/>
  <c r="G6" i="2"/>
  <c r="I6" i="2" s="1" a="1"/>
  <c r="H47" i="2"/>
  <c r="H9" i="2"/>
  <c r="E10" i="2"/>
  <c r="C10" i="2"/>
  <c r="B10" i="2"/>
  <c r="A11" i="2"/>
  <c r="D10" i="2"/>
  <c r="F9" i="2"/>
  <c r="G9" i="2" s="1"/>
  <c r="I9" i="2" s="1" a="1"/>
  <c r="G46" i="2"/>
  <c r="I46" i="2" s="1" a="1"/>
  <c r="C16" i="3"/>
  <c r="F5" i="3"/>
  <c r="D16" i="3"/>
  <c r="F10" i="3"/>
  <c r="E11" i="3"/>
  <c r="E15" i="3" s="1"/>
  <c r="C13" i="5" l="1"/>
  <c r="C14" i="5" s="1"/>
  <c r="H5" i="5"/>
  <c r="D6" i="5"/>
  <c r="F6" i="5" a="1"/>
  <c r="I9" i="2"/>
  <c r="J9" i="2"/>
  <c r="J47" i="2"/>
  <c r="I47" i="2"/>
  <c r="J8" i="2"/>
  <c r="I8" i="2"/>
  <c r="M7" i="2"/>
  <c r="K7" i="2"/>
  <c r="F10" i="2"/>
  <c r="G10" i="2"/>
  <c r="I10" i="2" s="1" a="1"/>
  <c r="J6" i="2"/>
  <c r="I6" i="2"/>
  <c r="A50" i="2"/>
  <c r="C49" i="2"/>
  <c r="E49" i="2"/>
  <c r="D49" i="2"/>
  <c r="B49" i="2"/>
  <c r="B11" i="2"/>
  <c r="E11" i="2"/>
  <c r="A12" i="2"/>
  <c r="C11" i="2"/>
  <c r="D11" i="2"/>
  <c r="J46" i="2"/>
  <c r="I46" i="2"/>
  <c r="H10" i="2"/>
  <c r="N5" i="2"/>
  <c r="L5" i="2"/>
  <c r="F48" i="2"/>
  <c r="H48" i="2" s="1"/>
  <c r="N7" i="2"/>
  <c r="L7" i="2"/>
  <c r="M5" i="2"/>
  <c r="K5" i="2"/>
  <c r="G5" i="3"/>
  <c r="F6" i="3"/>
  <c r="G10" i="3"/>
  <c r="F11" i="3"/>
  <c r="E16" i="3"/>
  <c r="G6" i="5" l="1"/>
  <c r="E7" i="5" s="1"/>
  <c r="F6" i="5"/>
  <c r="F7" i="5" s="1" a="1"/>
  <c r="D7" i="5"/>
  <c r="B50" i="2"/>
  <c r="D50" i="2"/>
  <c r="E50" i="2"/>
  <c r="A51" i="2"/>
  <c r="C50" i="2"/>
  <c r="G48" i="2"/>
  <c r="I48" i="2" s="1" a="1"/>
  <c r="A13" i="2"/>
  <c r="C12" i="2"/>
  <c r="E12" i="2"/>
  <c r="D12" i="2"/>
  <c r="B12" i="2"/>
  <c r="M6" i="2"/>
  <c r="K6" i="2"/>
  <c r="I10" i="2"/>
  <c r="J10" i="2"/>
  <c r="M46" i="2"/>
  <c r="K46" i="2"/>
  <c r="F49" i="2"/>
  <c r="G49" i="2" s="1"/>
  <c r="I49" i="2" s="1" a="1"/>
  <c r="L47" i="2"/>
  <c r="N47" i="2"/>
  <c r="L6" i="2"/>
  <c r="N6" i="2"/>
  <c r="N46" i="2"/>
  <c r="L46" i="2"/>
  <c r="H49" i="2"/>
  <c r="N9" i="2"/>
  <c r="L9" i="2"/>
  <c r="K8" i="2"/>
  <c r="M8" i="2"/>
  <c r="N8" i="2"/>
  <c r="L8" i="2"/>
  <c r="M47" i="2"/>
  <c r="K47" i="2"/>
  <c r="F11" i="2"/>
  <c r="G11" i="2" s="1"/>
  <c r="K9" i="2"/>
  <c r="M9" i="2"/>
  <c r="H10" i="3"/>
  <c r="H11" i="3" s="1"/>
  <c r="G11" i="3"/>
  <c r="G15" i="3" s="1"/>
  <c r="F14" i="3"/>
  <c r="H5" i="3"/>
  <c r="G6" i="3"/>
  <c r="G14" i="3" s="1"/>
  <c r="F15" i="3"/>
  <c r="G7" i="5" l="1"/>
  <c r="F7" i="5"/>
  <c r="F8" i="5" s="1" a="1"/>
  <c r="E8" i="5"/>
  <c r="J49" i="2"/>
  <c r="I49" i="2"/>
  <c r="I48" i="2"/>
  <c r="J48" i="2"/>
  <c r="M10" i="2"/>
  <c r="K10" i="2"/>
  <c r="H12" i="2"/>
  <c r="D51" i="2"/>
  <c r="E51" i="2"/>
  <c r="C51" i="2"/>
  <c r="B51" i="2"/>
  <c r="A52" i="2"/>
  <c r="F50" i="2"/>
  <c r="H50" i="2" s="1"/>
  <c r="F12" i="2"/>
  <c r="G12" i="2" s="1"/>
  <c r="I12" i="2" s="1" a="1"/>
  <c r="H11" i="2"/>
  <c r="I11" i="2" s="1" a="1"/>
  <c r="L10" i="2"/>
  <c r="N10" i="2"/>
  <c r="A14" i="2"/>
  <c r="D13" i="2"/>
  <c r="E13" i="2"/>
  <c r="C13" i="2"/>
  <c r="B13" i="2"/>
  <c r="H15" i="3"/>
  <c r="I5" i="3"/>
  <c r="I6" i="3"/>
  <c r="I14" i="3" s="1"/>
  <c r="H6" i="3"/>
  <c r="F16" i="3"/>
  <c r="G16" i="3"/>
  <c r="I10" i="3"/>
  <c r="G8" i="5" l="1"/>
  <c r="E9" i="5" s="1"/>
  <c r="F8" i="5"/>
  <c r="F9" i="5" s="1" a="1"/>
  <c r="D8" i="5"/>
  <c r="D9" i="5" s="1"/>
  <c r="I11" i="2"/>
  <c r="J11" i="2"/>
  <c r="J12" i="2"/>
  <c r="I12" i="2"/>
  <c r="H51" i="2"/>
  <c r="K48" i="2"/>
  <c r="M48" i="2"/>
  <c r="G51" i="2"/>
  <c r="I51" i="2" s="1" a="1"/>
  <c r="F51" i="2"/>
  <c r="N48" i="2"/>
  <c r="L48" i="2"/>
  <c r="E52" i="2"/>
  <c r="A53" i="2"/>
  <c r="D52" i="2"/>
  <c r="C52" i="2"/>
  <c r="B52" i="2"/>
  <c r="K49" i="2"/>
  <c r="M49" i="2"/>
  <c r="G13" i="2"/>
  <c r="F13" i="2"/>
  <c r="H13" i="2" s="1"/>
  <c r="B14" i="2"/>
  <c r="E14" i="2"/>
  <c r="A15" i="2"/>
  <c r="D14" i="2"/>
  <c r="C14" i="2"/>
  <c r="G50" i="2"/>
  <c r="I50" i="2" s="1" a="1"/>
  <c r="L49" i="2"/>
  <c r="N49" i="2"/>
  <c r="H14" i="3"/>
  <c r="J10" i="3"/>
  <c r="J11" i="3" s="1"/>
  <c r="J15" i="3" s="1"/>
  <c r="J5" i="3"/>
  <c r="J6" i="3" s="1"/>
  <c r="J14" i="3" s="1"/>
  <c r="I11" i="3"/>
  <c r="G9" i="5" l="1"/>
  <c r="E10" i="5" s="1"/>
  <c r="F9" i="5"/>
  <c r="F10" i="5" s="1" a="1"/>
  <c r="J51" i="2"/>
  <c r="I51" i="2"/>
  <c r="F52" i="2"/>
  <c r="G52" i="2" s="1"/>
  <c r="I52" i="2" s="1" a="1"/>
  <c r="C53" i="2"/>
  <c r="B53" i="2"/>
  <c r="E53" i="2"/>
  <c r="A54" i="2"/>
  <c r="D53" i="2"/>
  <c r="F14" i="2"/>
  <c r="G14" i="2" s="1"/>
  <c r="N12" i="2"/>
  <c r="L12" i="2"/>
  <c r="I13" i="2" a="1"/>
  <c r="K12" i="2"/>
  <c r="M12" i="2"/>
  <c r="C15" i="2"/>
  <c r="B15" i="2"/>
  <c r="D15" i="2"/>
  <c r="A16" i="2"/>
  <c r="E15" i="2"/>
  <c r="N11" i="2"/>
  <c r="L11" i="2"/>
  <c r="J50" i="2"/>
  <c r="I50" i="2"/>
  <c r="H52" i="2"/>
  <c r="M11" i="2"/>
  <c r="K11" i="2"/>
  <c r="J17" i="3"/>
  <c r="J16" i="3"/>
  <c r="J18" i="3" s="1"/>
  <c r="B6" i="3"/>
  <c r="I15" i="3"/>
  <c r="B11" i="3"/>
  <c r="H16" i="3"/>
  <c r="E11" i="5" l="1"/>
  <c r="G10" i="5"/>
  <c r="F10" i="5"/>
  <c r="F11" i="5" s="1" a="1"/>
  <c r="D10" i="5"/>
  <c r="D11" i="5" s="1"/>
  <c r="I52" i="2"/>
  <c r="J52" i="2"/>
  <c r="L50" i="2"/>
  <c r="N50" i="2"/>
  <c r="F53" i="2"/>
  <c r="G53" i="2" s="1"/>
  <c r="A55" i="2"/>
  <c r="B54" i="2"/>
  <c r="E54" i="2"/>
  <c r="D54" i="2"/>
  <c r="C54" i="2"/>
  <c r="H14" i="2"/>
  <c r="I14" i="2" s="1" a="1"/>
  <c r="F15" i="2"/>
  <c r="G15" i="2"/>
  <c r="H15" i="2"/>
  <c r="A17" i="2"/>
  <c r="E16" i="2"/>
  <c r="D16" i="2"/>
  <c r="B16" i="2"/>
  <c r="C16" i="2"/>
  <c r="K51" i="2"/>
  <c r="M51" i="2"/>
  <c r="J13" i="2"/>
  <c r="I13" i="2"/>
  <c r="M50" i="2"/>
  <c r="K50" i="2"/>
  <c r="N51" i="2"/>
  <c r="L51" i="2"/>
  <c r="I16" i="3"/>
  <c r="I18" i="3" s="1"/>
  <c r="B19" i="3"/>
  <c r="F11" i="5" l="1"/>
  <c r="G11" i="5"/>
  <c r="D12" i="5"/>
  <c r="E12" i="5"/>
  <c r="I14" i="2"/>
  <c r="J14" i="2"/>
  <c r="F16" i="2"/>
  <c r="H16" i="2" s="1"/>
  <c r="A18" i="2"/>
  <c r="C17" i="2"/>
  <c r="E17" i="2"/>
  <c r="D17" i="2"/>
  <c r="B17" i="2"/>
  <c r="L13" i="2"/>
  <c r="N13" i="2"/>
  <c r="H53" i="2"/>
  <c r="I53" i="2" s="1" a="1"/>
  <c r="G54" i="2"/>
  <c r="F54" i="2"/>
  <c r="K13" i="2"/>
  <c r="M13" i="2"/>
  <c r="I15" i="2" a="1"/>
  <c r="H54" i="2"/>
  <c r="L52" i="2"/>
  <c r="N52" i="2"/>
  <c r="A56" i="2"/>
  <c r="E55" i="2"/>
  <c r="D55" i="2"/>
  <c r="C55" i="2"/>
  <c r="B55" i="2"/>
  <c r="M52" i="2"/>
  <c r="K52" i="2"/>
  <c r="I17" i="3"/>
  <c r="F12" i="5" l="1" a="1"/>
  <c r="J53" i="2"/>
  <c r="I53" i="2"/>
  <c r="I54" i="2" a="1"/>
  <c r="D18" i="2"/>
  <c r="C18" i="2"/>
  <c r="B18" i="2"/>
  <c r="E18" i="2"/>
  <c r="A19" i="2"/>
  <c r="F55" i="2"/>
  <c r="G55" i="2" s="1"/>
  <c r="I55" i="2" s="1" a="1"/>
  <c r="F17" i="2"/>
  <c r="G17" i="2" s="1"/>
  <c r="I17" i="2" s="1" a="1"/>
  <c r="L14" i="2"/>
  <c r="N14" i="2"/>
  <c r="J15" i="2"/>
  <c r="I15" i="2"/>
  <c r="G16" i="2"/>
  <c r="I16" i="2" s="1" a="1"/>
  <c r="H55" i="2"/>
  <c r="H17" i="2"/>
  <c r="M14" i="2"/>
  <c r="K14" i="2"/>
  <c r="B56" i="2"/>
  <c r="D56" i="2"/>
  <c r="A57" i="2"/>
  <c r="E56" i="2"/>
  <c r="C56" i="2"/>
  <c r="H18" i="3"/>
  <c r="H17" i="3"/>
  <c r="G12" i="5" l="1"/>
  <c r="E13" i="5" s="1"/>
  <c r="F12" i="5"/>
  <c r="I17" i="2"/>
  <c r="J17" i="2"/>
  <c r="J55" i="2"/>
  <c r="I55" i="2"/>
  <c r="B19" i="2"/>
  <c r="A20" i="2"/>
  <c r="E19" i="2"/>
  <c r="D19" i="2"/>
  <c r="C19" i="2"/>
  <c r="C57" i="2"/>
  <c r="B57" i="2"/>
  <c r="A58" i="2"/>
  <c r="E57" i="2"/>
  <c r="D57" i="2"/>
  <c r="F56" i="2"/>
  <c r="H56" i="2" s="1"/>
  <c r="J16" i="2"/>
  <c r="I16" i="2"/>
  <c r="F18" i="2"/>
  <c r="H18" i="2" s="1"/>
  <c r="G18" i="2"/>
  <c r="I54" i="2"/>
  <c r="J54" i="2"/>
  <c r="K15" i="2"/>
  <c r="M15" i="2"/>
  <c r="M53" i="2"/>
  <c r="K53" i="2"/>
  <c r="N15" i="2"/>
  <c r="L15" i="2"/>
  <c r="N53" i="2"/>
  <c r="L53" i="2"/>
  <c r="G17" i="3"/>
  <c r="G18" i="3"/>
  <c r="F13" i="5" l="1" a="1"/>
  <c r="D13" i="5"/>
  <c r="C20" i="2"/>
  <c r="D20" i="2"/>
  <c r="B20" i="2"/>
  <c r="A21" i="2"/>
  <c r="E20" i="2"/>
  <c r="K54" i="2"/>
  <c r="M54" i="2"/>
  <c r="N16" i="2"/>
  <c r="L16" i="2"/>
  <c r="I18" i="2" a="1"/>
  <c r="N55" i="2"/>
  <c r="L55" i="2"/>
  <c r="D58" i="2"/>
  <c r="C58" i="2"/>
  <c r="B58" i="2"/>
  <c r="A59" i="2"/>
  <c r="E58" i="2"/>
  <c r="M55" i="2"/>
  <c r="K55" i="2"/>
  <c r="F57" i="2"/>
  <c r="G57" i="2" s="1"/>
  <c r="I57" i="2" s="1" a="1"/>
  <c r="F19" i="2"/>
  <c r="G19" i="2" s="1"/>
  <c r="I19" i="2" s="1" a="1"/>
  <c r="N17" i="2"/>
  <c r="L17" i="2"/>
  <c r="N54" i="2"/>
  <c r="L54" i="2"/>
  <c r="K16" i="2"/>
  <c r="M16" i="2"/>
  <c r="G56" i="2"/>
  <c r="I56" i="2" s="1" a="1"/>
  <c r="H57" i="2"/>
  <c r="H19" i="2"/>
  <c r="K17" i="2"/>
  <c r="M17" i="2"/>
  <c r="F17" i="3"/>
  <c r="F18" i="3"/>
  <c r="G13" i="5" l="1"/>
  <c r="E14" i="5" s="1"/>
  <c r="F13" i="5"/>
  <c r="F14" i="5" s="1" a="1"/>
  <c r="I19" i="2"/>
  <c r="J19" i="2"/>
  <c r="J57" i="2"/>
  <c r="I57" i="2"/>
  <c r="J18" i="2"/>
  <c r="I18" i="2"/>
  <c r="D21" i="2"/>
  <c r="E21" i="2"/>
  <c r="C21" i="2"/>
  <c r="B21" i="2"/>
  <c r="A22" i="2"/>
  <c r="F58" i="2"/>
  <c r="H58" i="2" s="1"/>
  <c r="F20" i="2"/>
  <c r="H20" i="2" s="1"/>
  <c r="I56" i="2"/>
  <c r="J56" i="2"/>
  <c r="E59" i="2"/>
  <c r="D59" i="2"/>
  <c r="A60" i="2"/>
  <c r="B59" i="2"/>
  <c r="C59" i="2"/>
  <c r="E17" i="3"/>
  <c r="E18" i="3"/>
  <c r="G14" i="5" l="1"/>
  <c r="F14" i="5"/>
  <c r="D14" i="5"/>
  <c r="L56" i="2"/>
  <c r="N56" i="2"/>
  <c r="G20" i="2"/>
  <c r="I20" i="2" s="1" a="1"/>
  <c r="M57" i="2"/>
  <c r="K57" i="2"/>
  <c r="E22" i="2"/>
  <c r="A23" i="2"/>
  <c r="C22" i="2"/>
  <c r="B22" i="2"/>
  <c r="D22" i="2"/>
  <c r="L57" i="2"/>
  <c r="N57" i="2"/>
  <c r="G58" i="2"/>
  <c r="I58" i="2" s="1" a="1"/>
  <c r="L18" i="2"/>
  <c r="N18" i="2"/>
  <c r="E60" i="2"/>
  <c r="A61" i="2"/>
  <c r="D60" i="2"/>
  <c r="C60" i="2"/>
  <c r="B60" i="2"/>
  <c r="N19" i="2"/>
  <c r="L19" i="2"/>
  <c r="F21" i="2"/>
  <c r="H21" i="2" s="1"/>
  <c r="M56" i="2"/>
  <c r="K56" i="2"/>
  <c r="K18" i="2"/>
  <c r="M18" i="2"/>
  <c r="F59" i="2"/>
  <c r="G59" i="2" s="1"/>
  <c r="K19" i="2"/>
  <c r="M19" i="2"/>
  <c r="D17" i="3"/>
  <c r="D18" i="3"/>
  <c r="J20" i="2" l="1"/>
  <c r="I20" i="2"/>
  <c r="G21" i="2"/>
  <c r="I21" i="2" s="1" a="1"/>
  <c r="C61" i="2"/>
  <c r="E61" i="2"/>
  <c r="A62" i="2"/>
  <c r="D61" i="2"/>
  <c r="B61" i="2"/>
  <c r="B23" i="2"/>
  <c r="D23" i="2"/>
  <c r="E23" i="2"/>
  <c r="C23" i="2"/>
  <c r="A24" i="2"/>
  <c r="H59" i="2"/>
  <c r="I59" i="2" s="1" a="1"/>
  <c r="F60" i="2"/>
  <c r="G60" i="2"/>
  <c r="H60" i="2"/>
  <c r="F22" i="2"/>
  <c r="H22" i="2" s="1"/>
  <c r="J58" i="2"/>
  <c r="I58" i="2"/>
  <c r="C18" i="3"/>
  <c r="C17" i="3"/>
  <c r="J59" i="2" l="1"/>
  <c r="I59" i="2"/>
  <c r="E24" i="2"/>
  <c r="D24" i="2"/>
  <c r="C24" i="2"/>
  <c r="B24" i="2"/>
  <c r="A25" i="2"/>
  <c r="G61" i="2"/>
  <c r="I61" i="2" s="1" a="1"/>
  <c r="F61" i="2"/>
  <c r="K58" i="2"/>
  <c r="M58" i="2"/>
  <c r="A63" i="2"/>
  <c r="E62" i="2"/>
  <c r="D62" i="2"/>
  <c r="C62" i="2"/>
  <c r="B62" i="2"/>
  <c r="H61" i="2"/>
  <c r="F23" i="2"/>
  <c r="H23" i="2" s="1"/>
  <c r="G23" i="2"/>
  <c r="K20" i="2"/>
  <c r="M20" i="2"/>
  <c r="J21" i="2"/>
  <c r="I21" i="2"/>
  <c r="N20" i="2"/>
  <c r="L20" i="2"/>
  <c r="L58" i="2"/>
  <c r="N58" i="2"/>
  <c r="I60" i="2" a="1"/>
  <c r="G22" i="2"/>
  <c r="I22" i="2" s="1" a="1"/>
  <c r="B18" i="3"/>
  <c r="B20" i="3" s="1"/>
  <c r="B17" i="3"/>
  <c r="J61" i="2" l="1"/>
  <c r="I61" i="2"/>
  <c r="A26" i="2"/>
  <c r="B25" i="2"/>
  <c r="E25" i="2"/>
  <c r="D25" i="2"/>
  <c r="C25" i="2"/>
  <c r="F62" i="2"/>
  <c r="G62" i="2" s="1"/>
  <c r="A64" i="2"/>
  <c r="C63" i="2"/>
  <c r="B63" i="2"/>
  <c r="E63" i="2"/>
  <c r="D63" i="2"/>
  <c r="I23" i="2" a="1"/>
  <c r="L21" i="2"/>
  <c r="N21" i="2"/>
  <c r="H24" i="2"/>
  <c r="I22" i="2"/>
  <c r="J22" i="2"/>
  <c r="K21" i="2"/>
  <c r="M21" i="2"/>
  <c r="G24" i="2"/>
  <c r="I24" i="2" s="1" a="1"/>
  <c r="F24" i="2"/>
  <c r="M59" i="2"/>
  <c r="K59" i="2"/>
  <c r="J60" i="2"/>
  <c r="I60" i="2"/>
  <c r="N59" i="2"/>
  <c r="L59" i="2"/>
  <c r="F63" i="2" l="1"/>
  <c r="H63" i="2" s="1"/>
  <c r="G25" i="2"/>
  <c r="I25" i="2" s="1" a="1"/>
  <c r="F25" i="2"/>
  <c r="I24" i="2"/>
  <c r="J24" i="2"/>
  <c r="M22" i="2"/>
  <c r="K22" i="2"/>
  <c r="M60" i="2"/>
  <c r="K60" i="2"/>
  <c r="B64" i="2"/>
  <c r="A65" i="2"/>
  <c r="E64" i="2"/>
  <c r="D64" i="2"/>
  <c r="C64" i="2"/>
  <c r="H62" i="2"/>
  <c r="I62" i="2" s="1" a="1"/>
  <c r="H25" i="2"/>
  <c r="L22" i="2"/>
  <c r="N22" i="2"/>
  <c r="L60" i="2"/>
  <c r="N60" i="2"/>
  <c r="M61" i="2"/>
  <c r="K61" i="2"/>
  <c r="J23" i="2"/>
  <c r="I23" i="2"/>
  <c r="C26" i="2"/>
  <c r="B26" i="2"/>
  <c r="E26" i="2"/>
  <c r="A27" i="2"/>
  <c r="D26" i="2"/>
  <c r="N61" i="2"/>
  <c r="L61" i="2"/>
  <c r="I62" i="2" l="1"/>
  <c r="J62" i="2"/>
  <c r="F26" i="2"/>
  <c r="G26" i="2" s="1"/>
  <c r="I26" i="2" s="1" a="1"/>
  <c r="M23" i="2"/>
  <c r="K23" i="2"/>
  <c r="M24" i="2"/>
  <c r="K24" i="2"/>
  <c r="B27" i="2"/>
  <c r="E27" i="2"/>
  <c r="D27" i="2"/>
  <c r="A28" i="2"/>
  <c r="C27" i="2"/>
  <c r="L23" i="2"/>
  <c r="N23" i="2"/>
  <c r="J25" i="2"/>
  <c r="I25" i="2"/>
  <c r="G64" i="2"/>
  <c r="I64" i="2" s="1" a="1"/>
  <c r="F64" i="2"/>
  <c r="H26" i="2"/>
  <c r="G63" i="2"/>
  <c r="I63" i="2" s="1" a="1"/>
  <c r="H64" i="2"/>
  <c r="C65" i="2"/>
  <c r="B65" i="2"/>
  <c r="E65" i="2"/>
  <c r="D65" i="2"/>
  <c r="A66" i="2"/>
  <c r="L24" i="2"/>
  <c r="N24" i="2"/>
  <c r="J26" i="2" l="1"/>
  <c r="I26" i="2"/>
  <c r="I64" i="2"/>
  <c r="J64" i="2"/>
  <c r="J63" i="2"/>
  <c r="I63" i="2"/>
  <c r="K25" i="2"/>
  <c r="M25" i="2"/>
  <c r="A67" i="2"/>
  <c r="D66" i="2"/>
  <c r="C66" i="2"/>
  <c r="B66" i="2"/>
  <c r="E66" i="2"/>
  <c r="F65" i="2"/>
  <c r="H65" i="2" s="1"/>
  <c r="N25" i="2"/>
  <c r="L25" i="2"/>
  <c r="N62" i="2"/>
  <c r="L62" i="2"/>
  <c r="C28" i="2"/>
  <c r="A29" i="2"/>
  <c r="B28" i="2"/>
  <c r="E28" i="2"/>
  <c r="D28" i="2"/>
  <c r="F27" i="2"/>
  <c r="H27" i="2" s="1"/>
  <c r="G27" i="2"/>
  <c r="M62" i="2"/>
  <c r="K62" i="2"/>
  <c r="G65" i="2" l="1"/>
  <c r="I65" i="2" s="1" a="1"/>
  <c r="H66" i="2"/>
  <c r="K63" i="2"/>
  <c r="M63" i="2"/>
  <c r="F66" i="2"/>
  <c r="G66" i="2" s="1"/>
  <c r="I66" i="2" s="1" a="1"/>
  <c r="L63" i="2"/>
  <c r="N63" i="2"/>
  <c r="H28" i="2"/>
  <c r="E67" i="2"/>
  <c r="D67" i="2"/>
  <c r="C67" i="2"/>
  <c r="B67" i="2"/>
  <c r="A68" i="2"/>
  <c r="N64" i="2"/>
  <c r="L64" i="2"/>
  <c r="K26" i="2"/>
  <c r="M26" i="2"/>
  <c r="D29" i="2"/>
  <c r="C29" i="2"/>
  <c r="B29" i="2"/>
  <c r="E29" i="2"/>
  <c r="A30" i="2"/>
  <c r="I27" i="2" a="1"/>
  <c r="F28" i="2"/>
  <c r="G28" i="2" s="1"/>
  <c r="I28" i="2" s="1" a="1"/>
  <c r="K64" i="2"/>
  <c r="M64" i="2"/>
  <c r="N26" i="2"/>
  <c r="L26" i="2"/>
  <c r="J28" i="2" l="1"/>
  <c r="I28" i="2"/>
  <c r="J66" i="2"/>
  <c r="I66" i="2"/>
  <c r="I27" i="2"/>
  <c r="J27" i="2"/>
  <c r="H29" i="2"/>
  <c r="J65" i="2"/>
  <c r="I65" i="2"/>
  <c r="E30" i="2"/>
  <c r="A31" i="2"/>
  <c r="D30" i="2"/>
  <c r="C30" i="2"/>
  <c r="B30" i="2"/>
  <c r="B68" i="2"/>
  <c r="E68" i="2"/>
  <c r="D68" i="2"/>
  <c r="A69" i="2"/>
  <c r="C68" i="2"/>
  <c r="F29" i="2"/>
  <c r="G29" i="2" s="1"/>
  <c r="I29" i="2" s="1" a="1"/>
  <c r="F67" i="2"/>
  <c r="H67" i="2" s="1"/>
  <c r="J29" i="2" l="1"/>
  <c r="I29" i="2"/>
  <c r="F30" i="2"/>
  <c r="G30" i="2" s="1"/>
  <c r="I30" i="2" s="1" a="1"/>
  <c r="H68" i="2"/>
  <c r="K66" i="2"/>
  <c r="M66" i="2"/>
  <c r="G67" i="2"/>
  <c r="I67" i="2" s="1" a="1"/>
  <c r="N27" i="2"/>
  <c r="L27" i="2"/>
  <c r="M27" i="2"/>
  <c r="K27" i="2"/>
  <c r="L66" i="2"/>
  <c r="N66" i="2"/>
  <c r="H30" i="2"/>
  <c r="K28" i="2"/>
  <c r="M28" i="2"/>
  <c r="C31" i="2"/>
  <c r="E31" i="2"/>
  <c r="B31" i="2"/>
  <c r="A32" i="2"/>
  <c r="D31" i="2"/>
  <c r="C69" i="2"/>
  <c r="D69" i="2"/>
  <c r="A70" i="2"/>
  <c r="B69" i="2"/>
  <c r="E69" i="2"/>
  <c r="F68" i="2"/>
  <c r="G68" i="2"/>
  <c r="K65" i="2"/>
  <c r="M65" i="2"/>
  <c r="L65" i="2"/>
  <c r="N65" i="2"/>
  <c r="N28" i="2"/>
  <c r="L28" i="2"/>
  <c r="J30" i="2" l="1"/>
  <c r="I30" i="2"/>
  <c r="J67" i="2"/>
  <c r="I67" i="2"/>
  <c r="D70" i="2"/>
  <c r="A71" i="2"/>
  <c r="B70" i="2"/>
  <c r="E70" i="2"/>
  <c r="C70" i="2"/>
  <c r="F69" i="2"/>
  <c r="G69" i="2" s="1"/>
  <c r="F31" i="2"/>
  <c r="H31" i="2" s="1"/>
  <c r="G31" i="2"/>
  <c r="I68" i="2" a="1"/>
  <c r="D32" i="2"/>
  <c r="C32" i="2"/>
  <c r="B32" i="2"/>
  <c r="A33" i="2"/>
  <c r="E32" i="2"/>
  <c r="M29" i="2"/>
  <c r="K29" i="2"/>
  <c r="L29" i="2"/>
  <c r="N29" i="2"/>
  <c r="A34" i="2" l="1"/>
  <c r="E33" i="2"/>
  <c r="C33" i="2"/>
  <c r="B33" i="2"/>
  <c r="D33" i="2"/>
  <c r="L30" i="2"/>
  <c r="N30" i="2"/>
  <c r="L67" i="2"/>
  <c r="N67" i="2"/>
  <c r="H69" i="2"/>
  <c r="I69" i="2" s="1" a="1"/>
  <c r="I68" i="2"/>
  <c r="J68" i="2"/>
  <c r="I31" i="2" a="1"/>
  <c r="E71" i="2"/>
  <c r="A72" i="2"/>
  <c r="C71" i="2"/>
  <c r="D71" i="2"/>
  <c r="B71" i="2"/>
  <c r="H32" i="2"/>
  <c r="G70" i="2"/>
  <c r="F70" i="2"/>
  <c r="H70" i="2" s="1"/>
  <c r="M30" i="2"/>
  <c r="K30" i="2"/>
  <c r="F32" i="2"/>
  <c r="G32" i="2" s="1"/>
  <c r="I32" i="2" s="1" a="1"/>
  <c r="M67" i="2"/>
  <c r="K67" i="2"/>
  <c r="J32" i="2" l="1"/>
  <c r="I32" i="2"/>
  <c r="J69" i="2"/>
  <c r="I69" i="2"/>
  <c r="I70" i="2" a="1"/>
  <c r="I31" i="2"/>
  <c r="J31" i="2"/>
  <c r="F71" i="2"/>
  <c r="H71" i="2" s="1"/>
  <c r="M68" i="2"/>
  <c r="K68" i="2"/>
  <c r="H33" i="2"/>
  <c r="C34" i="2"/>
  <c r="B34" i="2"/>
  <c r="E34" i="2"/>
  <c r="D34" i="2"/>
  <c r="A35" i="2"/>
  <c r="L68" i="2"/>
  <c r="N68" i="2"/>
  <c r="B72" i="2"/>
  <c r="E72" i="2"/>
  <c r="D72" i="2"/>
  <c r="C72" i="2"/>
  <c r="A73" i="2"/>
  <c r="G33" i="2"/>
  <c r="I33" i="2" s="1" a="1"/>
  <c r="F33" i="2"/>
  <c r="I33" i="2" l="1"/>
  <c r="J33" i="2"/>
  <c r="D35" i="2"/>
  <c r="E35" i="2"/>
  <c r="A36" i="2"/>
  <c r="C35" i="2"/>
  <c r="B35" i="2"/>
  <c r="K32" i="2"/>
  <c r="M32" i="2"/>
  <c r="C73" i="2"/>
  <c r="B73" i="2"/>
  <c r="E73" i="2"/>
  <c r="A74" i="2"/>
  <c r="D73" i="2"/>
  <c r="F34" i="2"/>
  <c r="G34" i="2" s="1"/>
  <c r="N32" i="2"/>
  <c r="L32" i="2"/>
  <c r="F72" i="2"/>
  <c r="H72" i="2" s="1"/>
  <c r="G72" i="2"/>
  <c r="G71" i="2"/>
  <c r="I71" i="2" s="1" a="1"/>
  <c r="J70" i="2"/>
  <c r="I70" i="2"/>
  <c r="N31" i="2"/>
  <c r="L31" i="2"/>
  <c r="M69" i="2"/>
  <c r="K69" i="2"/>
  <c r="M31" i="2"/>
  <c r="K31" i="2"/>
  <c r="L69" i="2"/>
  <c r="N69" i="2"/>
  <c r="I34" i="2" l="1" a="1"/>
  <c r="N70" i="2"/>
  <c r="L70" i="2"/>
  <c r="F73" i="2"/>
  <c r="G73" i="2" s="1"/>
  <c r="I73" i="2" s="1" a="1"/>
  <c r="H34" i="2"/>
  <c r="H73" i="2"/>
  <c r="H35" i="2"/>
  <c r="A75" i="2"/>
  <c r="D74" i="2"/>
  <c r="C74" i="2"/>
  <c r="E74" i="2"/>
  <c r="B74" i="2"/>
  <c r="F35" i="2"/>
  <c r="G35" i="2" s="1"/>
  <c r="I35" i="2" s="1" a="1"/>
  <c r="I72" i="2" a="1"/>
  <c r="J71" i="2"/>
  <c r="I71" i="2"/>
  <c r="N33" i="2"/>
  <c r="L33" i="2"/>
  <c r="E36" i="2"/>
  <c r="C36" i="2"/>
  <c r="B36" i="2"/>
  <c r="A37" i="2"/>
  <c r="D36" i="2"/>
  <c r="K70" i="2"/>
  <c r="M70" i="2"/>
  <c r="M33" i="2"/>
  <c r="K33" i="2"/>
  <c r="I35" i="2" l="1"/>
  <c r="J35" i="2"/>
  <c r="J73" i="2"/>
  <c r="I73" i="2"/>
  <c r="F36" i="2"/>
  <c r="G36" i="2"/>
  <c r="I36" i="2" s="1" a="1"/>
  <c r="J34" i="2"/>
  <c r="I34" i="2"/>
  <c r="B37" i="2"/>
  <c r="D37" i="2"/>
  <c r="C37" i="2"/>
  <c r="A38" i="2"/>
  <c r="E37" i="2"/>
  <c r="K71" i="2"/>
  <c r="M71" i="2"/>
  <c r="L71" i="2"/>
  <c r="N71" i="2"/>
  <c r="I72" i="2"/>
  <c r="J72" i="2"/>
  <c r="F74" i="2"/>
  <c r="H74" i="2" s="1"/>
  <c r="G74" i="2"/>
  <c r="H36" i="2"/>
  <c r="E75" i="2"/>
  <c r="D75" i="2"/>
  <c r="A76" i="2"/>
  <c r="C75" i="2"/>
  <c r="B75" i="2"/>
  <c r="J36" i="2" l="1"/>
  <c r="I36" i="2"/>
  <c r="N73" i="2"/>
  <c r="L73" i="2"/>
  <c r="I74" i="2" a="1"/>
  <c r="E38" i="2"/>
  <c r="A39" i="2"/>
  <c r="D38" i="2"/>
  <c r="C38" i="2"/>
  <c r="B38" i="2"/>
  <c r="F37" i="2"/>
  <c r="H37" i="2" s="1"/>
  <c r="K73" i="2"/>
  <c r="M73" i="2"/>
  <c r="B76" i="2"/>
  <c r="E76" i="2"/>
  <c r="D76" i="2"/>
  <c r="A77" i="2"/>
  <c r="C76" i="2"/>
  <c r="M34" i="2"/>
  <c r="K34" i="2"/>
  <c r="N35" i="2"/>
  <c r="L35" i="2"/>
  <c r="N72" i="2"/>
  <c r="L72" i="2"/>
  <c r="K72" i="2"/>
  <c r="M72" i="2"/>
  <c r="F75" i="2"/>
  <c r="G75" i="2" s="1"/>
  <c r="N34" i="2"/>
  <c r="L34" i="2"/>
  <c r="K35" i="2"/>
  <c r="M35" i="2"/>
  <c r="H75" i="2" l="1"/>
  <c r="I75" i="2" s="1" a="1"/>
  <c r="F38" i="2"/>
  <c r="G38" i="2" s="1"/>
  <c r="I38" i="2" s="1" a="1"/>
  <c r="A40" i="2"/>
  <c r="C39" i="2"/>
  <c r="E39" i="2"/>
  <c r="B39" i="2"/>
  <c r="D39" i="2"/>
  <c r="G37" i="2"/>
  <c r="I37" i="2" s="1" a="1"/>
  <c r="H38" i="2"/>
  <c r="M36" i="2"/>
  <c r="K36" i="2"/>
  <c r="F76" i="2"/>
  <c r="G76" i="2" s="1"/>
  <c r="J74" i="2"/>
  <c r="I74" i="2"/>
  <c r="L36" i="2"/>
  <c r="N36" i="2"/>
  <c r="C77" i="2"/>
  <c r="A78" i="2"/>
  <c r="B77" i="2"/>
  <c r="E77" i="2"/>
  <c r="D77" i="2"/>
  <c r="I38" i="2" l="1"/>
  <c r="J38" i="2"/>
  <c r="J75" i="2"/>
  <c r="I75" i="2"/>
  <c r="N74" i="2"/>
  <c r="L74" i="2"/>
  <c r="D78" i="2"/>
  <c r="A79" i="2"/>
  <c r="E78" i="2"/>
  <c r="B78" i="2"/>
  <c r="C78" i="2"/>
  <c r="C40" i="2"/>
  <c r="A41" i="2"/>
  <c r="E40" i="2"/>
  <c r="D40" i="2"/>
  <c r="B40" i="2"/>
  <c r="K74" i="2"/>
  <c r="M74" i="2"/>
  <c r="J37" i="2"/>
  <c r="I37" i="2"/>
  <c r="H76" i="2"/>
  <c r="I76" i="2" s="1" a="1"/>
  <c r="H77" i="2"/>
  <c r="G77" i="2"/>
  <c r="F77" i="2"/>
  <c r="F39" i="2"/>
  <c r="G39" i="2" s="1"/>
  <c r="I76" i="2" l="1"/>
  <c r="J76" i="2"/>
  <c r="L75" i="2"/>
  <c r="N75" i="2"/>
  <c r="B41" i="2"/>
  <c r="D41" i="2"/>
  <c r="E41" i="2"/>
  <c r="C41" i="2"/>
  <c r="A42" i="2"/>
  <c r="M37" i="2"/>
  <c r="K37" i="2"/>
  <c r="H39" i="2"/>
  <c r="I39" i="2" s="1" a="1"/>
  <c r="L37" i="2"/>
  <c r="N37" i="2"/>
  <c r="N38" i="2"/>
  <c r="L38" i="2"/>
  <c r="E79" i="2"/>
  <c r="A80" i="2"/>
  <c r="D79" i="2"/>
  <c r="C79" i="2"/>
  <c r="B79" i="2"/>
  <c r="F78" i="2"/>
  <c r="H78" i="2" s="1"/>
  <c r="M75" i="2"/>
  <c r="K75" i="2"/>
  <c r="M38" i="2"/>
  <c r="K38" i="2"/>
  <c r="F40" i="2"/>
  <c r="H40" i="2" s="1"/>
  <c r="G40" i="2"/>
  <c r="I77" i="2" a="1"/>
  <c r="J39" i="2" l="1"/>
  <c r="I39" i="2"/>
  <c r="I40" i="2" a="1"/>
  <c r="F41" i="2"/>
  <c r="G41" i="2"/>
  <c r="H41" i="2"/>
  <c r="B80" i="2"/>
  <c r="E80" i="2"/>
  <c r="A81" i="2"/>
  <c r="D80" i="2"/>
  <c r="C80" i="2"/>
  <c r="G78" i="2"/>
  <c r="I78" i="2" s="1" a="1"/>
  <c r="L76" i="2"/>
  <c r="N76" i="2"/>
  <c r="J77" i="2"/>
  <c r="I77" i="2"/>
  <c r="C42" i="2"/>
  <c r="A43" i="2"/>
  <c r="E42" i="2"/>
  <c r="B42" i="2"/>
  <c r="D42" i="2"/>
  <c r="F79" i="2"/>
  <c r="H79" i="2" s="1"/>
  <c r="M76" i="2"/>
  <c r="K76" i="2"/>
  <c r="G79" i="2" l="1"/>
  <c r="I79" i="2" s="1" a="1"/>
  <c r="N77" i="2"/>
  <c r="L77" i="2"/>
  <c r="I41" i="2" a="1"/>
  <c r="K77" i="2"/>
  <c r="M77" i="2"/>
  <c r="F80" i="2"/>
  <c r="G80" i="2"/>
  <c r="C81" i="2"/>
  <c r="B81" i="2"/>
  <c r="D81" i="2"/>
  <c r="A82" i="2"/>
  <c r="E81" i="2"/>
  <c r="J40" i="2"/>
  <c r="I40" i="2"/>
  <c r="I78" i="2"/>
  <c r="J78" i="2"/>
  <c r="F42" i="2"/>
  <c r="H42" i="2" s="1"/>
  <c r="H80" i="2"/>
  <c r="M39" i="2"/>
  <c r="K39" i="2"/>
  <c r="D43" i="2"/>
  <c r="C43" i="2"/>
  <c r="B43" i="2"/>
  <c r="A44" i="2"/>
  <c r="E43" i="2"/>
  <c r="N39" i="2"/>
  <c r="L39" i="2"/>
  <c r="A83" i="2" l="1"/>
  <c r="E82" i="2"/>
  <c r="D82" i="2"/>
  <c r="C82" i="2"/>
  <c r="B82" i="2"/>
  <c r="I41" i="2"/>
  <c r="J41" i="2"/>
  <c r="F81" i="2"/>
  <c r="H81" i="2" s="1"/>
  <c r="G42" i="2"/>
  <c r="I42" i="2" s="1" a="1"/>
  <c r="L78" i="2"/>
  <c r="N78" i="2"/>
  <c r="J79" i="2"/>
  <c r="I79" i="2"/>
  <c r="E44" i="2"/>
  <c r="C44" i="2"/>
  <c r="B44" i="2"/>
  <c r="D44" i="2"/>
  <c r="M78" i="2"/>
  <c r="K78" i="2"/>
  <c r="F43" i="2"/>
  <c r="H43" i="2" s="1"/>
  <c r="G43" i="2"/>
  <c r="K40" i="2"/>
  <c r="M40" i="2"/>
  <c r="I80" i="2" a="1"/>
  <c r="N40" i="2"/>
  <c r="L40" i="2"/>
  <c r="N41" i="2" l="1"/>
  <c r="L41" i="2"/>
  <c r="F82" i="2"/>
  <c r="G82" i="2" s="1"/>
  <c r="N79" i="2"/>
  <c r="L79" i="2"/>
  <c r="F44" i="2"/>
  <c r="H44" i="2" s="1"/>
  <c r="J42" i="2"/>
  <c r="I42" i="2"/>
  <c r="I43" i="2" a="1"/>
  <c r="E83" i="2"/>
  <c r="D83" i="2"/>
  <c r="C83" i="2"/>
  <c r="B83" i="2"/>
  <c r="A84" i="2"/>
  <c r="M41" i="2"/>
  <c r="K41" i="2"/>
  <c r="I80" i="2"/>
  <c r="J80" i="2"/>
  <c r="M79" i="2"/>
  <c r="K79" i="2"/>
  <c r="G81" i="2"/>
  <c r="I81" i="2" s="1" a="1"/>
  <c r="L80" i="2" l="1"/>
  <c r="N80" i="2"/>
  <c r="G44" i="2"/>
  <c r="I44" i="2" s="1" a="1"/>
  <c r="F83" i="2"/>
  <c r="G83" i="2"/>
  <c r="I83" i="2" s="1" a="1"/>
  <c r="H83" i="2"/>
  <c r="M80" i="2"/>
  <c r="K80" i="2"/>
  <c r="J43" i="2"/>
  <c r="I43" i="2"/>
  <c r="K42" i="2"/>
  <c r="M42" i="2"/>
  <c r="N42" i="2"/>
  <c r="L42" i="2"/>
  <c r="J81" i="2"/>
  <c r="I81" i="2"/>
  <c r="B84" i="2"/>
  <c r="E84" i="2"/>
  <c r="D84" i="2"/>
  <c r="C84" i="2"/>
  <c r="A85" i="2"/>
  <c r="H82" i="2"/>
  <c r="I82" i="2" s="1" a="1"/>
  <c r="J82" i="2" l="1"/>
  <c r="I82" i="2"/>
  <c r="J83" i="2"/>
  <c r="I83" i="2"/>
  <c r="K43" i="2"/>
  <c r="M43" i="2"/>
  <c r="K81" i="2"/>
  <c r="M81" i="2"/>
  <c r="N81" i="2"/>
  <c r="L81" i="2"/>
  <c r="J44" i="2"/>
  <c r="I44" i="2"/>
  <c r="C85" i="2"/>
  <c r="A86" i="2"/>
  <c r="E85" i="2"/>
  <c r="D85" i="2"/>
  <c r="B85" i="2"/>
  <c r="F84" i="2"/>
  <c r="H84" i="2" s="1"/>
  <c r="L43" i="2"/>
  <c r="N43" i="2"/>
  <c r="M44" i="2" l="1"/>
  <c r="K44" i="2"/>
  <c r="F85" i="2"/>
  <c r="G85" i="2" s="1"/>
  <c r="I85" i="2" s="1" a="1"/>
  <c r="L83" i="2"/>
  <c r="N83" i="2"/>
  <c r="L44" i="2"/>
  <c r="N44" i="2"/>
  <c r="G84" i="2"/>
  <c r="I84" i="2" s="1" a="1"/>
  <c r="H85" i="2"/>
  <c r="K82" i="2"/>
  <c r="M82" i="2"/>
  <c r="M83" i="2"/>
  <c r="K83" i="2"/>
  <c r="D86" i="2"/>
  <c r="A87" i="2"/>
  <c r="E86" i="2"/>
  <c r="C86" i="2"/>
  <c r="B86" i="2"/>
  <c r="L82" i="2"/>
  <c r="N82" i="2"/>
  <c r="J85" i="2" l="1"/>
  <c r="I85" i="2"/>
  <c r="F86" i="2"/>
  <c r="H86" i="2" s="1"/>
  <c r="I84" i="2"/>
  <c r="J84" i="2"/>
  <c r="E87" i="2"/>
  <c r="B87" i="2"/>
  <c r="A88" i="2"/>
  <c r="D87" i="2"/>
  <c r="C87" i="2"/>
  <c r="N84" i="2" l="1"/>
  <c r="L84" i="2"/>
  <c r="F87" i="2"/>
  <c r="G87" i="2" s="1"/>
  <c r="K84" i="2"/>
  <c r="M84" i="2"/>
  <c r="C88" i="2"/>
  <c r="B88" i="2"/>
  <c r="E88" i="2"/>
  <c r="A89" i="2"/>
  <c r="D88" i="2"/>
  <c r="M85" i="2"/>
  <c r="K85" i="2"/>
  <c r="G86" i="2"/>
  <c r="I86" i="2" s="1" a="1"/>
  <c r="N85" i="2"/>
  <c r="L85" i="2"/>
  <c r="D89" i="2" l="1"/>
  <c r="C89" i="2"/>
  <c r="B89" i="2"/>
  <c r="E89" i="2"/>
  <c r="A90" i="2"/>
  <c r="H87" i="2"/>
  <c r="I87" i="2" s="1" a="1"/>
  <c r="F88" i="2"/>
  <c r="G88" i="2" s="1"/>
  <c r="J86" i="2"/>
  <c r="I86" i="2"/>
  <c r="I87" i="2" l="1"/>
  <c r="J87" i="2"/>
  <c r="I88" i="2" a="1"/>
  <c r="M86" i="2"/>
  <c r="K86" i="2"/>
  <c r="N86" i="2"/>
  <c r="L86" i="2"/>
  <c r="H88" i="2"/>
  <c r="A91" i="2"/>
  <c r="E90" i="2"/>
  <c r="D90" i="2"/>
  <c r="C90" i="2"/>
  <c r="B90" i="2"/>
  <c r="F89" i="2"/>
  <c r="H89" i="2" s="1"/>
  <c r="F90" i="2" l="1"/>
  <c r="G90" i="2" s="1"/>
  <c r="J88" i="2"/>
  <c r="I88" i="2"/>
  <c r="G89" i="2"/>
  <c r="I89" i="2" s="1" a="1"/>
  <c r="L87" i="2"/>
  <c r="N87" i="2"/>
  <c r="E91" i="2"/>
  <c r="D91" i="2"/>
  <c r="A92" i="2"/>
  <c r="C91" i="2"/>
  <c r="B91" i="2"/>
  <c r="K87" i="2"/>
  <c r="M87" i="2"/>
  <c r="B92" i="2" l="1"/>
  <c r="E92" i="2"/>
  <c r="D92" i="2"/>
  <c r="C92" i="2"/>
  <c r="A93" i="2"/>
  <c r="H91" i="2"/>
  <c r="H90" i="2"/>
  <c r="I90" i="2" s="1" a="1"/>
  <c r="J89" i="2"/>
  <c r="I89" i="2"/>
  <c r="K88" i="2"/>
  <c r="M88" i="2"/>
  <c r="L88" i="2"/>
  <c r="N88" i="2"/>
  <c r="F91" i="2"/>
  <c r="G91" i="2"/>
  <c r="J90" i="2" l="1"/>
  <c r="I90" i="2"/>
  <c r="C93" i="2"/>
  <c r="A94" i="2"/>
  <c r="B93" i="2"/>
  <c r="E93" i="2"/>
  <c r="D93" i="2"/>
  <c r="G92" i="2"/>
  <c r="I92" i="2" s="1" a="1"/>
  <c r="F92" i="2"/>
  <c r="I91" i="2" a="1"/>
  <c r="K89" i="2"/>
  <c r="M89" i="2"/>
  <c r="N89" i="2"/>
  <c r="L89" i="2"/>
  <c r="H92" i="2"/>
  <c r="I92" i="2" l="1"/>
  <c r="J92" i="2"/>
  <c r="F93" i="2"/>
  <c r="G93" i="2" s="1"/>
  <c r="J91" i="2"/>
  <c r="I91" i="2"/>
  <c r="K90" i="2"/>
  <c r="M90" i="2"/>
  <c r="D94" i="2"/>
  <c r="A95" i="2"/>
  <c r="C94" i="2"/>
  <c r="E94" i="2"/>
  <c r="B94" i="2"/>
  <c r="N90" i="2"/>
  <c r="L90" i="2"/>
  <c r="L91" i="2" l="1"/>
  <c r="N91" i="2"/>
  <c r="E95" i="2"/>
  <c r="B95" i="2"/>
  <c r="D95" i="2"/>
  <c r="C95" i="2"/>
  <c r="H93" i="2"/>
  <c r="I93" i="2" s="1" a="1"/>
  <c r="N92" i="2"/>
  <c r="L92" i="2"/>
  <c r="F94" i="2"/>
  <c r="G94" i="2" s="1"/>
  <c r="I94" i="2" s="1" a="1"/>
  <c r="H94" i="2"/>
  <c r="M91" i="2"/>
  <c r="K91" i="2"/>
  <c r="M92" i="2"/>
  <c r="K92" i="2"/>
  <c r="J94" i="2" l="1"/>
  <c r="I94" i="2"/>
  <c r="J93" i="2"/>
  <c r="I93" i="2"/>
  <c r="F95" i="2"/>
  <c r="H95" i="2" s="1"/>
  <c r="N93" i="2" l="1"/>
  <c r="L93" i="2"/>
  <c r="G95" i="2"/>
  <c r="I95" i="2" s="1" a="1"/>
  <c r="K94" i="2"/>
  <c r="M94" i="2"/>
  <c r="M93" i="2"/>
  <c r="K93" i="2"/>
  <c r="N94" i="2"/>
  <c r="L94" i="2"/>
  <c r="I95" i="2" l="1"/>
  <c r="J95" i="2"/>
  <c r="L95" i="2" l="1"/>
  <c r="N95" i="2"/>
  <c r="K95" i="2"/>
  <c r="M95" i="2"/>
</calcChain>
</file>

<file path=xl/sharedStrings.xml><?xml version="1.0" encoding="utf-8"?>
<sst xmlns="http://schemas.openxmlformats.org/spreadsheetml/2006/main" count="61" uniqueCount="56">
  <si>
    <t>入力値</t>
    <rPh sb="0" eb="3">
      <t>ニュウリョクチ</t>
    </rPh>
    <phoneticPr fontId="1"/>
  </si>
  <si>
    <t>2のn乗</t>
    <rPh sb="3" eb="4">
      <t>ジョウ</t>
    </rPh>
    <phoneticPr fontId="1"/>
  </si>
  <si>
    <t>確認用</t>
    <rPh sb="0" eb="3">
      <t>カクニンヨウ</t>
    </rPh>
    <phoneticPr fontId="1"/>
  </si>
  <si>
    <t>桁数</t>
    <rPh sb="0" eb="1">
      <t>ケタ</t>
    </rPh>
    <rPh sb="1" eb="2">
      <t>スウ</t>
    </rPh>
    <phoneticPr fontId="1"/>
  </si>
  <si>
    <t>１番目の値</t>
    <rPh sb="1" eb="3">
      <t>バンメ</t>
    </rPh>
    <rPh sb="4" eb="5">
      <t>アタイ</t>
    </rPh>
    <phoneticPr fontId="1"/>
  </si>
  <si>
    <t>２番目の値</t>
    <rPh sb="1" eb="3">
      <t>バンメ</t>
    </rPh>
    <rPh sb="4" eb="5">
      <t>アタイ</t>
    </rPh>
    <phoneticPr fontId="1"/>
  </si>
  <si>
    <t>排他的OR</t>
    <rPh sb="0" eb="3">
      <t>ハイタテキ</t>
    </rPh>
    <phoneticPr fontId="1"/>
  </si>
  <si>
    <t>CarrierOVer</t>
    <phoneticPr fontId="1"/>
  </si>
  <si>
    <t>合計値</t>
    <rPh sb="0" eb="3">
      <t>ゴウケイチ</t>
    </rPh>
    <phoneticPr fontId="1"/>
  </si>
  <si>
    <t>１０進数</t>
    <rPh sb="2" eb="4">
      <t>シンスウ</t>
    </rPh>
    <phoneticPr fontId="1"/>
  </si>
  <si>
    <t>２進数</t>
    <rPh sb="1" eb="3">
      <t>シンスウ</t>
    </rPh>
    <phoneticPr fontId="1"/>
  </si>
  <si>
    <t>dt</t>
    <phoneticPr fontId="2" type="noConversion"/>
  </si>
  <si>
    <t>x</t>
    <phoneticPr fontId="2" type="noConversion"/>
  </si>
  <si>
    <t>y</t>
    <phoneticPr fontId="2" type="noConversion"/>
  </si>
  <si>
    <t>t</t>
    <phoneticPr fontId="2" type="noConversion"/>
  </si>
  <si>
    <t>gradx</t>
    <phoneticPr fontId="2" type="noConversion"/>
  </si>
  <si>
    <t>grady</t>
    <phoneticPr fontId="2" type="noConversion"/>
  </si>
  <si>
    <t>d</t>
    <phoneticPr fontId="1"/>
  </si>
  <si>
    <t>tx</t>
    <phoneticPr fontId="1"/>
  </si>
  <si>
    <t>ty</t>
    <phoneticPr fontId="1"/>
  </si>
  <si>
    <t>tx90</t>
    <phoneticPr fontId="1"/>
  </si>
  <si>
    <t>ty90</t>
    <phoneticPr fontId="1"/>
  </si>
  <si>
    <t>x10</t>
    <phoneticPr fontId="1"/>
  </si>
  <si>
    <t>y10</t>
    <phoneticPr fontId="1"/>
  </si>
  <si>
    <t>x10m</t>
    <phoneticPr fontId="1"/>
  </si>
  <si>
    <t>y10m</t>
    <phoneticPr fontId="1"/>
  </si>
  <si>
    <t>ボール初速度</t>
    <rPh sb="3" eb="6">
      <t>ショソクド</t>
    </rPh>
    <phoneticPr fontId="3"/>
  </si>
  <si>
    <t>学生番号</t>
    <rPh sb="0" eb="2">
      <t>ガクセイ</t>
    </rPh>
    <rPh sb="2" eb="4">
      <t>バンゴウ</t>
    </rPh>
    <phoneticPr fontId="3"/>
  </si>
  <si>
    <t>g</t>
    <phoneticPr fontId="3"/>
  </si>
  <si>
    <t>角度</t>
    <rPh sb="0" eb="2">
      <t>カクド</t>
    </rPh>
    <phoneticPr fontId="3"/>
  </si>
  <si>
    <t>dt</t>
    <phoneticPr fontId="3"/>
  </si>
  <si>
    <t>t</t>
    <phoneticPr fontId="3"/>
  </si>
  <si>
    <t>x</t>
    <phoneticPr fontId="3"/>
  </si>
  <si>
    <t>y</t>
    <phoneticPr fontId="3"/>
  </si>
  <si>
    <t>x=初期速度×時間×cosθ</t>
    <rPh sb="2" eb="4">
      <t>ショキ</t>
    </rPh>
    <rPh sb="4" eb="6">
      <t>ソクド</t>
    </rPh>
    <rPh sb="7" eb="9">
      <t>ジカン</t>
    </rPh>
    <phoneticPr fontId="1"/>
  </si>
  <si>
    <t>時間が媒介変数</t>
    <rPh sb="0" eb="2">
      <t>ジカン</t>
    </rPh>
    <rPh sb="3" eb="5">
      <t>バイカイ</t>
    </rPh>
    <rPh sb="5" eb="7">
      <t>ヘンスウ</t>
    </rPh>
    <phoneticPr fontId="1"/>
  </si>
  <si>
    <r>
      <t>xの式を時間に整理してyの式の時間に代入して整理するとy=x</t>
    </r>
    <r>
      <rPr>
        <vertAlign val="superscript"/>
        <sz val="11"/>
        <color theme="1"/>
        <rFont val="ＭＳ Ｐゴシック"/>
        <family val="3"/>
        <charset val="128"/>
        <scheme val="minor"/>
      </rPr>
      <t>2</t>
    </r>
    <r>
      <rPr>
        <sz val="11"/>
        <color theme="1"/>
        <rFont val="ＭＳ Ｐゴシック"/>
        <family val="2"/>
        <scheme val="minor"/>
      </rPr>
      <t>式になる→放物線運動</t>
    </r>
    <rPh sb="2" eb="3">
      <t>シキ</t>
    </rPh>
    <rPh sb="4" eb="6">
      <t>ジカン</t>
    </rPh>
    <rPh sb="7" eb="9">
      <t>セイリ</t>
    </rPh>
    <rPh sb="13" eb="14">
      <t>シキ</t>
    </rPh>
    <rPh sb="15" eb="17">
      <t>ジカン</t>
    </rPh>
    <rPh sb="18" eb="20">
      <t>ダイニュウ</t>
    </rPh>
    <rPh sb="22" eb="24">
      <t>セイリ</t>
    </rPh>
    <rPh sb="31" eb="32">
      <t>シキ</t>
    </rPh>
    <rPh sb="36" eb="39">
      <t>ホウブツセン</t>
    </rPh>
    <rPh sb="39" eb="41">
      <t>ウンドウ</t>
    </rPh>
    <phoneticPr fontId="1"/>
  </si>
  <si>
    <t>θは入力値なので変数ではなく定数</t>
    <rPh sb="2" eb="5">
      <t>ニュウリョクチ</t>
    </rPh>
    <rPh sb="8" eb="10">
      <t>ヘンスウ</t>
    </rPh>
    <rPh sb="14" eb="16">
      <t>テイスウ</t>
    </rPh>
    <phoneticPr fontId="1"/>
  </si>
  <si>
    <t>y=初期速度×時間×sinθ-重力加速度×時間の2乗÷2</t>
    <rPh sb="2" eb="4">
      <t>ショキ</t>
    </rPh>
    <rPh sb="4" eb="6">
      <t>ソクド</t>
    </rPh>
    <rPh sb="7" eb="9">
      <t>ジカン</t>
    </rPh>
    <rPh sb="15" eb="17">
      <t>ジュウリョク</t>
    </rPh>
    <rPh sb="17" eb="20">
      <t>カソクド</t>
    </rPh>
    <rPh sb="21" eb="23">
      <t>ジカン</t>
    </rPh>
    <rPh sb="25" eb="26">
      <t>ジョウ</t>
    </rPh>
    <phoneticPr fontId="1"/>
  </si>
  <si>
    <t>x</t>
    <phoneticPr fontId="3"/>
  </si>
  <si>
    <t>y</t>
    <phoneticPr fontId="3"/>
  </si>
  <si>
    <t>solver</t>
    <phoneticPr fontId="1"/>
  </si>
  <si>
    <t>x</t>
    <phoneticPr fontId="3"/>
  </si>
  <si>
    <t>y</t>
    <phoneticPr fontId="3"/>
  </si>
  <si>
    <t>階乗</t>
    <rPh sb="0" eb="2">
      <t>カイジョウ</t>
    </rPh>
    <phoneticPr fontId="1"/>
  </si>
  <si>
    <t>フィボナッチ</t>
    <phoneticPr fontId="1"/>
  </si>
  <si>
    <t>x回転</t>
    <rPh sb="1" eb="3">
      <t>カイテン</t>
    </rPh>
    <phoneticPr fontId="3"/>
  </si>
  <si>
    <t>y回転</t>
    <rPh sb="1" eb="3">
      <t>カイテン</t>
    </rPh>
    <phoneticPr fontId="3"/>
  </si>
  <si>
    <t>角度</t>
    <rPh sb="0" eb="2">
      <t>カクド</t>
    </rPh>
    <phoneticPr fontId="1"/>
  </si>
  <si>
    <t>Radian</t>
    <phoneticPr fontId="1"/>
  </si>
  <si>
    <t>回転行列</t>
    <rPh sb="0" eb="2">
      <t>カイテン</t>
    </rPh>
    <rPh sb="2" eb="4">
      <t>ギョウレツ</t>
    </rPh>
    <phoneticPr fontId="1"/>
  </si>
  <si>
    <t>ランダム</t>
    <phoneticPr fontId="1"/>
  </si>
  <si>
    <t>値でコピー</t>
    <rPh sb="0" eb="1">
      <t>アタイ</t>
    </rPh>
    <phoneticPr fontId="1"/>
  </si>
  <si>
    <t>順番</t>
    <rPh sb="0" eb="2">
      <t>ジュンバン</t>
    </rPh>
    <phoneticPr fontId="1"/>
  </si>
  <si>
    <t>探す値</t>
    <rPh sb="0" eb="1">
      <t>サガ</t>
    </rPh>
    <rPh sb="2" eb="3">
      <t>アタイ</t>
    </rPh>
    <phoneticPr fontId="1"/>
  </si>
  <si>
    <t>SolverSolve UserFinish:=True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</si>
</sst>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name val="ＭＳ Ｐゴシック"/>
      <family val="3"/>
      <charset val="129"/>
      <scheme val="minor"/>
    </font>
    <font>
      <sz val="6"/>
      <name val="ＭＳ Ｐゴシック"/>
      <family val="2"/>
      <charset val="128"/>
      <scheme val="minor"/>
    </font>
    <font>
      <vertAlign val="superscript"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放物線!$B$4</c:f>
              <c:strCache>
                <c:ptCount val="1"/>
                <c:pt idx="0">
                  <c:v>x</c:v>
                </c:pt>
              </c:strCache>
            </c:strRef>
          </c:tx>
          <c:xVal>
            <c:numRef>
              <c:f>放物線!$A$5:$A$25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放物線!$B$5:$B$25</c:f>
              <c:numCache>
                <c:formatCode>General</c:formatCode>
                <c:ptCount val="21"/>
                <c:pt idx="0">
                  <c:v>0</c:v>
                </c:pt>
                <c:pt idx="1">
                  <c:v>11.471528727020923</c:v>
                </c:pt>
                <c:pt idx="2">
                  <c:v>22.943057454041845</c:v>
                </c:pt>
                <c:pt idx="3">
                  <c:v>34.414586181062766</c:v>
                </c:pt>
                <c:pt idx="4">
                  <c:v>45.886114908083691</c:v>
                </c:pt>
                <c:pt idx="5">
                  <c:v>57.357643635104615</c:v>
                </c:pt>
                <c:pt idx="6">
                  <c:v>68.829172362125533</c:v>
                </c:pt>
                <c:pt idx="7">
                  <c:v>80.300701089146457</c:v>
                </c:pt>
                <c:pt idx="8">
                  <c:v>91.772229816167382</c:v>
                </c:pt>
                <c:pt idx="9">
                  <c:v>103.24375854318831</c:v>
                </c:pt>
                <c:pt idx="10">
                  <c:v>114.71528727020923</c:v>
                </c:pt>
                <c:pt idx="11">
                  <c:v>126.18681599723016</c:v>
                </c:pt>
                <c:pt idx="12">
                  <c:v>137.65834472425107</c:v>
                </c:pt>
                <c:pt idx="13">
                  <c:v>149.129873451272</c:v>
                </c:pt>
                <c:pt idx="14">
                  <c:v>160.60140217829291</c:v>
                </c:pt>
                <c:pt idx="15">
                  <c:v>172.07293090531385</c:v>
                </c:pt>
                <c:pt idx="16">
                  <c:v>183.54445963233476</c:v>
                </c:pt>
                <c:pt idx="17">
                  <c:v>195.0159883593557</c:v>
                </c:pt>
                <c:pt idx="18">
                  <c:v>206.48751708637661</c:v>
                </c:pt>
                <c:pt idx="19">
                  <c:v>217.95904581339755</c:v>
                </c:pt>
                <c:pt idx="20">
                  <c:v>229.43057454041846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放物線!$C$4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放物線!$A$5:$A$25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放物線!$C$5:$C$25</c:f>
              <c:numCache>
                <c:formatCode>General</c:formatCode>
                <c:ptCount val="21"/>
                <c:pt idx="0">
                  <c:v>0</c:v>
                </c:pt>
                <c:pt idx="1">
                  <c:v>11.483040885779834</c:v>
                </c:pt>
                <c:pt idx="2">
                  <c:v>13.166081771559668</c:v>
                </c:pt>
                <c:pt idx="3">
                  <c:v>5.0491226573395096</c:v>
                </c:pt>
                <c:pt idx="4">
                  <c:v>-12.867836456880667</c:v>
                </c:pt>
                <c:pt idx="5">
                  <c:v>-40.584795571100841</c:v>
                </c:pt>
                <c:pt idx="6">
                  <c:v>-78.101754685320984</c:v>
                </c:pt>
                <c:pt idx="7">
                  <c:v>-125.41871379954117</c:v>
                </c:pt>
                <c:pt idx="8">
                  <c:v>-182.53567291376135</c:v>
                </c:pt>
                <c:pt idx="9">
                  <c:v>-249.45263202798151</c:v>
                </c:pt>
                <c:pt idx="10">
                  <c:v>-326.16959114220174</c:v>
                </c:pt>
                <c:pt idx="11">
                  <c:v>-412.68655025642192</c:v>
                </c:pt>
                <c:pt idx="12">
                  <c:v>-509.00350937064195</c:v>
                </c:pt>
                <c:pt idx="13">
                  <c:v>-615.12046848486216</c:v>
                </c:pt>
                <c:pt idx="14">
                  <c:v>-731.03742759908232</c:v>
                </c:pt>
                <c:pt idx="15">
                  <c:v>-856.75438671330244</c:v>
                </c:pt>
                <c:pt idx="16">
                  <c:v>-992.27134582752274</c:v>
                </c:pt>
                <c:pt idx="17">
                  <c:v>-1137.588304941743</c:v>
                </c:pt>
                <c:pt idx="18">
                  <c:v>-1292.7052640559632</c:v>
                </c:pt>
                <c:pt idx="19">
                  <c:v>-1457.6222231701831</c:v>
                </c:pt>
                <c:pt idx="20">
                  <c:v>-1632.3391822844035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608"/>
        <c:axId val="2726144"/>
      </c:scatterChart>
      <c:valAx>
        <c:axId val="2724608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726144"/>
        <c:crosses val="autoZero"/>
        <c:crossBetween val="midCat"/>
      </c:valAx>
      <c:valAx>
        <c:axId val="2726144"/>
        <c:scaling>
          <c:orientation val="minMax"/>
          <c:max val="25"/>
          <c:min val="-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4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放物線!$C$4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放物線!$B$5:$B$25</c:f>
              <c:numCache>
                <c:formatCode>General</c:formatCode>
                <c:ptCount val="21"/>
                <c:pt idx="0">
                  <c:v>0</c:v>
                </c:pt>
                <c:pt idx="1">
                  <c:v>11.471528727020923</c:v>
                </c:pt>
                <c:pt idx="2">
                  <c:v>22.943057454041845</c:v>
                </c:pt>
                <c:pt idx="3">
                  <c:v>34.414586181062766</c:v>
                </c:pt>
                <c:pt idx="4">
                  <c:v>45.886114908083691</c:v>
                </c:pt>
                <c:pt idx="5">
                  <c:v>57.357643635104615</c:v>
                </c:pt>
                <c:pt idx="6">
                  <c:v>68.829172362125533</c:v>
                </c:pt>
                <c:pt idx="7">
                  <c:v>80.300701089146457</c:v>
                </c:pt>
                <c:pt idx="8">
                  <c:v>91.772229816167382</c:v>
                </c:pt>
                <c:pt idx="9">
                  <c:v>103.24375854318831</c:v>
                </c:pt>
                <c:pt idx="10">
                  <c:v>114.71528727020923</c:v>
                </c:pt>
                <c:pt idx="11">
                  <c:v>126.18681599723016</c:v>
                </c:pt>
                <c:pt idx="12">
                  <c:v>137.65834472425107</c:v>
                </c:pt>
                <c:pt idx="13">
                  <c:v>149.129873451272</c:v>
                </c:pt>
                <c:pt idx="14">
                  <c:v>160.60140217829291</c:v>
                </c:pt>
                <c:pt idx="15">
                  <c:v>172.07293090531385</c:v>
                </c:pt>
                <c:pt idx="16">
                  <c:v>183.54445963233476</c:v>
                </c:pt>
                <c:pt idx="17">
                  <c:v>195.0159883593557</c:v>
                </c:pt>
                <c:pt idx="18">
                  <c:v>206.48751708637661</c:v>
                </c:pt>
                <c:pt idx="19">
                  <c:v>217.95904581339755</c:v>
                </c:pt>
                <c:pt idx="20">
                  <c:v>229.43057454041846</c:v>
                </c:pt>
              </c:numCache>
            </c:numRef>
          </c:xVal>
          <c:yVal>
            <c:numRef>
              <c:f>放物線!$C$5:$C$25</c:f>
              <c:numCache>
                <c:formatCode>General</c:formatCode>
                <c:ptCount val="21"/>
                <c:pt idx="0">
                  <c:v>0</c:v>
                </c:pt>
                <c:pt idx="1">
                  <c:v>11.483040885779834</c:v>
                </c:pt>
                <c:pt idx="2">
                  <c:v>13.166081771559668</c:v>
                </c:pt>
                <c:pt idx="3">
                  <c:v>5.0491226573395096</c:v>
                </c:pt>
                <c:pt idx="4">
                  <c:v>-12.867836456880667</c:v>
                </c:pt>
                <c:pt idx="5">
                  <c:v>-40.584795571100841</c:v>
                </c:pt>
                <c:pt idx="6">
                  <c:v>-78.101754685320984</c:v>
                </c:pt>
                <c:pt idx="7">
                  <c:v>-125.41871379954117</c:v>
                </c:pt>
                <c:pt idx="8">
                  <c:v>-182.53567291376135</c:v>
                </c:pt>
                <c:pt idx="9">
                  <c:v>-249.45263202798151</c:v>
                </c:pt>
                <c:pt idx="10">
                  <c:v>-326.16959114220174</c:v>
                </c:pt>
                <c:pt idx="11">
                  <c:v>-412.68655025642192</c:v>
                </c:pt>
                <c:pt idx="12">
                  <c:v>-509.00350937064195</c:v>
                </c:pt>
                <c:pt idx="13">
                  <c:v>-615.12046848486216</c:v>
                </c:pt>
                <c:pt idx="14">
                  <c:v>-731.03742759908232</c:v>
                </c:pt>
                <c:pt idx="15">
                  <c:v>-856.75438671330244</c:v>
                </c:pt>
                <c:pt idx="16">
                  <c:v>-992.27134582752274</c:v>
                </c:pt>
                <c:pt idx="17">
                  <c:v>-1137.588304941743</c:v>
                </c:pt>
                <c:pt idx="18">
                  <c:v>-1292.7052640559632</c:v>
                </c:pt>
                <c:pt idx="19">
                  <c:v>-1457.6222231701831</c:v>
                </c:pt>
                <c:pt idx="20">
                  <c:v>-1632.3391822844035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1600"/>
        <c:axId val="48824320"/>
      </c:scatterChart>
      <c:valAx>
        <c:axId val="32601600"/>
        <c:scaling>
          <c:orientation val="minMax"/>
          <c:max val="5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48824320"/>
        <c:crosses val="autoZero"/>
        <c:crossBetween val="midCat"/>
      </c:valAx>
      <c:valAx>
        <c:axId val="48824320"/>
        <c:scaling>
          <c:orientation val="minMax"/>
          <c:max val="25"/>
          <c:min val="-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sz="1800"/>
                  <a:t>x</a:t>
                </a:r>
                <a:endParaRPr lang="ja-JP" altLang="en-US" sz="18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60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軌道!$B$4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軌道!$A$5:$A$95</c:f>
              <c:numCache>
                <c:formatCode>General</c:formatCode>
                <c:ptCount val="9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4.0999999999999996</c:v>
                </c:pt>
                <c:pt idx="41">
                  <c:v>4.1999999999999993</c:v>
                </c:pt>
                <c:pt idx="42">
                  <c:v>4.2999999999999989</c:v>
                </c:pt>
                <c:pt idx="43">
                  <c:v>4.3999999999999986</c:v>
                </c:pt>
                <c:pt idx="44">
                  <c:v>4.4999999999999982</c:v>
                </c:pt>
                <c:pt idx="45">
                  <c:v>4.5999999999999979</c:v>
                </c:pt>
                <c:pt idx="46">
                  <c:v>4.6999999999999975</c:v>
                </c:pt>
                <c:pt idx="47">
                  <c:v>4.7999999999999972</c:v>
                </c:pt>
                <c:pt idx="48">
                  <c:v>4.8999999999999968</c:v>
                </c:pt>
                <c:pt idx="49">
                  <c:v>4.9999999999999964</c:v>
                </c:pt>
                <c:pt idx="50">
                  <c:v>5.0999999999999961</c:v>
                </c:pt>
                <c:pt idx="51">
                  <c:v>5.1999999999999957</c:v>
                </c:pt>
                <c:pt idx="52">
                  <c:v>5.2999999999999954</c:v>
                </c:pt>
                <c:pt idx="53">
                  <c:v>5.399999999999995</c:v>
                </c:pt>
                <c:pt idx="54">
                  <c:v>5.4999999999999947</c:v>
                </c:pt>
                <c:pt idx="55">
                  <c:v>5.5999999999999943</c:v>
                </c:pt>
                <c:pt idx="56">
                  <c:v>5.699999999999994</c:v>
                </c:pt>
                <c:pt idx="57">
                  <c:v>5.7999999999999936</c:v>
                </c:pt>
                <c:pt idx="58">
                  <c:v>5.8999999999999932</c:v>
                </c:pt>
                <c:pt idx="59">
                  <c:v>5.9999999999999929</c:v>
                </c:pt>
                <c:pt idx="60">
                  <c:v>6.0999999999999925</c:v>
                </c:pt>
                <c:pt idx="61">
                  <c:v>6.1999999999999922</c:v>
                </c:pt>
                <c:pt idx="62">
                  <c:v>6.2999999999999918</c:v>
                </c:pt>
                <c:pt idx="63">
                  <c:v>6.3999999999999915</c:v>
                </c:pt>
                <c:pt idx="64">
                  <c:v>6.4999999999999911</c:v>
                </c:pt>
                <c:pt idx="65">
                  <c:v>6.5999999999999908</c:v>
                </c:pt>
                <c:pt idx="66">
                  <c:v>6.6999999999999904</c:v>
                </c:pt>
                <c:pt idx="67">
                  <c:v>6.7999999999999901</c:v>
                </c:pt>
                <c:pt idx="68">
                  <c:v>6.8999999999999897</c:v>
                </c:pt>
                <c:pt idx="69">
                  <c:v>6.9999999999999893</c:v>
                </c:pt>
                <c:pt idx="70">
                  <c:v>7.099999999999989</c:v>
                </c:pt>
                <c:pt idx="71">
                  <c:v>7.1999999999999886</c:v>
                </c:pt>
                <c:pt idx="72">
                  <c:v>7.2999999999999883</c:v>
                </c:pt>
                <c:pt idx="73">
                  <c:v>7.3999999999999879</c:v>
                </c:pt>
                <c:pt idx="74">
                  <c:v>7.4999999999999876</c:v>
                </c:pt>
                <c:pt idx="75">
                  <c:v>7.5999999999999872</c:v>
                </c:pt>
                <c:pt idx="76">
                  <c:v>7.6999999999999869</c:v>
                </c:pt>
                <c:pt idx="77">
                  <c:v>7.7999999999999865</c:v>
                </c:pt>
                <c:pt idx="78">
                  <c:v>7.8999999999999861</c:v>
                </c:pt>
                <c:pt idx="79">
                  <c:v>7.9999999999999858</c:v>
                </c:pt>
                <c:pt idx="80">
                  <c:v>8.0999999999999854</c:v>
                </c:pt>
                <c:pt idx="81">
                  <c:v>8.1999999999999851</c:v>
                </c:pt>
                <c:pt idx="82">
                  <c:v>8.2999999999999847</c:v>
                </c:pt>
                <c:pt idx="83">
                  <c:v>8.3999999999999844</c:v>
                </c:pt>
                <c:pt idx="84">
                  <c:v>8.499999999999984</c:v>
                </c:pt>
                <c:pt idx="85">
                  <c:v>8.5999999999999837</c:v>
                </c:pt>
                <c:pt idx="86">
                  <c:v>8.6999999999999833</c:v>
                </c:pt>
                <c:pt idx="87">
                  <c:v>8.7999999999999829</c:v>
                </c:pt>
                <c:pt idx="88">
                  <c:v>8.8999999999999826</c:v>
                </c:pt>
                <c:pt idx="89">
                  <c:v>8.9999999999999822</c:v>
                </c:pt>
                <c:pt idx="90">
                  <c:v>9.0999999999999819</c:v>
                </c:pt>
              </c:numCache>
            </c:numRef>
          </c:xVal>
          <c:yVal>
            <c:numRef>
              <c:f>軌道!$B$5:$B$95</c:f>
              <c:numCache>
                <c:formatCode>General</c:formatCode>
                <c:ptCount val="91"/>
                <c:pt idx="0">
                  <c:v>0</c:v>
                </c:pt>
                <c:pt idx="1">
                  <c:v>3.7810000000000059</c:v>
                </c:pt>
                <c:pt idx="2">
                  <c:v>7.328000000000003</c:v>
                </c:pt>
                <c:pt idx="3">
                  <c:v>10.646999999999998</c:v>
                </c:pt>
                <c:pt idx="4">
                  <c:v>13.743999999999993</c:v>
                </c:pt>
                <c:pt idx="5">
                  <c:v>16.625</c:v>
                </c:pt>
                <c:pt idx="6">
                  <c:v>19.296000000000003</c:v>
                </c:pt>
                <c:pt idx="7">
                  <c:v>21.763000000000002</c:v>
                </c:pt>
                <c:pt idx="8">
                  <c:v>24.031999999999993</c:v>
                </c:pt>
                <c:pt idx="9">
                  <c:v>26.108999999999998</c:v>
                </c:pt>
                <c:pt idx="10">
                  <c:v>28</c:v>
                </c:pt>
                <c:pt idx="11">
                  <c:v>29.710999999999991</c:v>
                </c:pt>
                <c:pt idx="12">
                  <c:v>31.248000000000005</c:v>
                </c:pt>
                <c:pt idx="13">
                  <c:v>32.616999999999997</c:v>
                </c:pt>
                <c:pt idx="14">
                  <c:v>33.824000000000005</c:v>
                </c:pt>
                <c:pt idx="15">
                  <c:v>34.875</c:v>
                </c:pt>
                <c:pt idx="16">
                  <c:v>35.776000000000003</c:v>
                </c:pt>
                <c:pt idx="17">
                  <c:v>36.533000000000001</c:v>
                </c:pt>
                <c:pt idx="18">
                  <c:v>37.152000000000001</c:v>
                </c:pt>
                <c:pt idx="19">
                  <c:v>37.639000000000003</c:v>
                </c:pt>
                <c:pt idx="20">
                  <c:v>38</c:v>
                </c:pt>
                <c:pt idx="21">
                  <c:v>38.241</c:v>
                </c:pt>
                <c:pt idx="22">
                  <c:v>38.368000000000002</c:v>
                </c:pt>
                <c:pt idx="23">
                  <c:v>38.387</c:v>
                </c:pt>
                <c:pt idx="24">
                  <c:v>38.304000000000002</c:v>
                </c:pt>
                <c:pt idx="25">
                  <c:v>38.125</c:v>
                </c:pt>
                <c:pt idx="26">
                  <c:v>37.855999999999995</c:v>
                </c:pt>
                <c:pt idx="27">
                  <c:v>37.503</c:v>
                </c:pt>
                <c:pt idx="28">
                  <c:v>37.071999999999996</c:v>
                </c:pt>
                <c:pt idx="29">
                  <c:v>36.568999999999988</c:v>
                </c:pt>
                <c:pt idx="30">
                  <c:v>35.999999999999993</c:v>
                </c:pt>
                <c:pt idx="31">
                  <c:v>35.370999999999988</c:v>
                </c:pt>
                <c:pt idx="32">
                  <c:v>34.687999999999988</c:v>
                </c:pt>
                <c:pt idx="33">
                  <c:v>33.956999999999987</c:v>
                </c:pt>
                <c:pt idx="34">
                  <c:v>33.183999999999983</c:v>
                </c:pt>
                <c:pt idx="35">
                  <c:v>32.374999999999986</c:v>
                </c:pt>
                <c:pt idx="36">
                  <c:v>31.535999999999984</c:v>
                </c:pt>
                <c:pt idx="37">
                  <c:v>30.672999999999984</c:v>
                </c:pt>
                <c:pt idx="38">
                  <c:v>29.79199999999998</c:v>
                </c:pt>
                <c:pt idx="39">
                  <c:v>28.89899999999998</c:v>
                </c:pt>
                <c:pt idx="40">
                  <c:v>27.101000000000003</c:v>
                </c:pt>
                <c:pt idx="41">
                  <c:v>26.208000000000006</c:v>
                </c:pt>
                <c:pt idx="42">
                  <c:v>25.327000000000009</c:v>
                </c:pt>
                <c:pt idx="43">
                  <c:v>24.464000000000013</c:v>
                </c:pt>
                <c:pt idx="44">
                  <c:v>23.625000000000014</c:v>
                </c:pt>
                <c:pt idx="45">
                  <c:v>22.816000000000017</c:v>
                </c:pt>
                <c:pt idx="46">
                  <c:v>22.043000000000021</c:v>
                </c:pt>
                <c:pt idx="47">
                  <c:v>21.312000000000019</c:v>
                </c:pt>
                <c:pt idx="48">
                  <c:v>20.629000000000019</c:v>
                </c:pt>
                <c:pt idx="49">
                  <c:v>20.000000000000021</c:v>
                </c:pt>
                <c:pt idx="50">
                  <c:v>19.431000000000019</c:v>
                </c:pt>
                <c:pt idx="51">
                  <c:v>18.928000000000019</c:v>
                </c:pt>
                <c:pt idx="52">
                  <c:v>18.497000000000018</c:v>
                </c:pt>
                <c:pt idx="53">
                  <c:v>18.144000000000016</c:v>
                </c:pt>
                <c:pt idx="54">
                  <c:v>17.875000000000014</c:v>
                </c:pt>
                <c:pt idx="55">
                  <c:v>17.696000000000009</c:v>
                </c:pt>
                <c:pt idx="56">
                  <c:v>17.613</c:v>
                </c:pt>
                <c:pt idx="57">
                  <c:v>17.631999999999994</c:v>
                </c:pt>
                <c:pt idx="58">
                  <c:v>17.75899999999999</c:v>
                </c:pt>
                <c:pt idx="59">
                  <c:v>17.999999999999979</c:v>
                </c:pt>
                <c:pt idx="60">
                  <c:v>18.360999999999969</c:v>
                </c:pt>
                <c:pt idx="61">
                  <c:v>18.847999999999956</c:v>
                </c:pt>
                <c:pt idx="62">
                  <c:v>19.466999999999949</c:v>
                </c:pt>
                <c:pt idx="63">
                  <c:v>20.223999999999929</c:v>
                </c:pt>
                <c:pt idx="64">
                  <c:v>21.124999999999911</c:v>
                </c:pt>
                <c:pt idx="65">
                  <c:v>22.175999999999895</c:v>
                </c:pt>
                <c:pt idx="66">
                  <c:v>23.382999999999878</c:v>
                </c:pt>
                <c:pt idx="67">
                  <c:v>24.751999999999853</c:v>
                </c:pt>
                <c:pt idx="68">
                  <c:v>26.288999999999831</c:v>
                </c:pt>
                <c:pt idx="69">
                  <c:v>27.999999999999808</c:v>
                </c:pt>
                <c:pt idx="70">
                  <c:v>29.890999999999785</c:v>
                </c:pt>
                <c:pt idx="71">
                  <c:v>31.967999999999755</c:v>
                </c:pt>
                <c:pt idx="72">
                  <c:v>34.236999999999718</c:v>
                </c:pt>
                <c:pt idx="73">
                  <c:v>36.703999999999681</c:v>
                </c:pt>
                <c:pt idx="74">
                  <c:v>39.374999999999659</c:v>
                </c:pt>
                <c:pt idx="75">
                  <c:v>42.255999999999617</c:v>
                </c:pt>
                <c:pt idx="76">
                  <c:v>45.352999999999582</c:v>
                </c:pt>
                <c:pt idx="77">
                  <c:v>48.671999999999542</c:v>
                </c:pt>
                <c:pt idx="78">
                  <c:v>52.218999999999497</c:v>
                </c:pt>
                <c:pt idx="79">
                  <c:v>55.999999999999446</c:v>
                </c:pt>
                <c:pt idx="80">
                  <c:v>60.020999999999397</c:v>
                </c:pt>
                <c:pt idx="81">
                  <c:v>64.287999999999343</c:v>
                </c:pt>
                <c:pt idx="82">
                  <c:v>68.806999999999292</c:v>
                </c:pt>
                <c:pt idx="83">
                  <c:v>73.583999999999236</c:v>
                </c:pt>
                <c:pt idx="84">
                  <c:v>78.624999999999176</c:v>
                </c:pt>
                <c:pt idx="85">
                  <c:v>83.935999999999126</c:v>
                </c:pt>
                <c:pt idx="86">
                  <c:v>89.522999999999058</c:v>
                </c:pt>
                <c:pt idx="87">
                  <c:v>95.391999999998973</c:v>
                </c:pt>
                <c:pt idx="88">
                  <c:v>101.5489999999989</c:v>
                </c:pt>
                <c:pt idx="89">
                  <c:v>107.99999999999882</c:v>
                </c:pt>
                <c:pt idx="90">
                  <c:v>114.75099999999875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63104"/>
        <c:axId val="48877952"/>
      </c:scatterChart>
      <c:valAx>
        <c:axId val="488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877952"/>
        <c:crosses val="autoZero"/>
        <c:crossBetween val="midCat"/>
      </c:valAx>
      <c:valAx>
        <c:axId val="4887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63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軌道!$C$4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軌道!$A$5:$A$95</c:f>
              <c:numCache>
                <c:formatCode>General</c:formatCode>
                <c:ptCount val="9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4.0999999999999996</c:v>
                </c:pt>
                <c:pt idx="41">
                  <c:v>4.1999999999999993</c:v>
                </c:pt>
                <c:pt idx="42">
                  <c:v>4.2999999999999989</c:v>
                </c:pt>
                <c:pt idx="43">
                  <c:v>4.3999999999999986</c:v>
                </c:pt>
                <c:pt idx="44">
                  <c:v>4.4999999999999982</c:v>
                </c:pt>
                <c:pt idx="45">
                  <c:v>4.5999999999999979</c:v>
                </c:pt>
                <c:pt idx="46">
                  <c:v>4.6999999999999975</c:v>
                </c:pt>
                <c:pt idx="47">
                  <c:v>4.7999999999999972</c:v>
                </c:pt>
                <c:pt idx="48">
                  <c:v>4.8999999999999968</c:v>
                </c:pt>
                <c:pt idx="49">
                  <c:v>4.9999999999999964</c:v>
                </c:pt>
                <c:pt idx="50">
                  <c:v>5.0999999999999961</c:v>
                </c:pt>
                <c:pt idx="51">
                  <c:v>5.1999999999999957</c:v>
                </c:pt>
                <c:pt idx="52">
                  <c:v>5.2999999999999954</c:v>
                </c:pt>
                <c:pt idx="53">
                  <c:v>5.399999999999995</c:v>
                </c:pt>
                <c:pt idx="54">
                  <c:v>5.4999999999999947</c:v>
                </c:pt>
                <c:pt idx="55">
                  <c:v>5.5999999999999943</c:v>
                </c:pt>
                <c:pt idx="56">
                  <c:v>5.699999999999994</c:v>
                </c:pt>
                <c:pt idx="57">
                  <c:v>5.7999999999999936</c:v>
                </c:pt>
                <c:pt idx="58">
                  <c:v>5.8999999999999932</c:v>
                </c:pt>
                <c:pt idx="59">
                  <c:v>5.9999999999999929</c:v>
                </c:pt>
                <c:pt idx="60">
                  <c:v>6.0999999999999925</c:v>
                </c:pt>
                <c:pt idx="61">
                  <c:v>6.1999999999999922</c:v>
                </c:pt>
                <c:pt idx="62">
                  <c:v>6.2999999999999918</c:v>
                </c:pt>
                <c:pt idx="63">
                  <c:v>6.3999999999999915</c:v>
                </c:pt>
                <c:pt idx="64">
                  <c:v>6.4999999999999911</c:v>
                </c:pt>
                <c:pt idx="65">
                  <c:v>6.5999999999999908</c:v>
                </c:pt>
                <c:pt idx="66">
                  <c:v>6.6999999999999904</c:v>
                </c:pt>
                <c:pt idx="67">
                  <c:v>6.7999999999999901</c:v>
                </c:pt>
                <c:pt idx="68">
                  <c:v>6.8999999999999897</c:v>
                </c:pt>
                <c:pt idx="69">
                  <c:v>6.9999999999999893</c:v>
                </c:pt>
                <c:pt idx="70">
                  <c:v>7.099999999999989</c:v>
                </c:pt>
                <c:pt idx="71">
                  <c:v>7.1999999999999886</c:v>
                </c:pt>
                <c:pt idx="72">
                  <c:v>7.2999999999999883</c:v>
                </c:pt>
                <c:pt idx="73">
                  <c:v>7.3999999999999879</c:v>
                </c:pt>
                <c:pt idx="74">
                  <c:v>7.4999999999999876</c:v>
                </c:pt>
                <c:pt idx="75">
                  <c:v>7.5999999999999872</c:v>
                </c:pt>
                <c:pt idx="76">
                  <c:v>7.6999999999999869</c:v>
                </c:pt>
                <c:pt idx="77">
                  <c:v>7.7999999999999865</c:v>
                </c:pt>
                <c:pt idx="78">
                  <c:v>7.8999999999999861</c:v>
                </c:pt>
                <c:pt idx="79">
                  <c:v>7.9999999999999858</c:v>
                </c:pt>
                <c:pt idx="80">
                  <c:v>8.0999999999999854</c:v>
                </c:pt>
                <c:pt idx="81">
                  <c:v>8.1999999999999851</c:v>
                </c:pt>
                <c:pt idx="82">
                  <c:v>8.2999999999999847</c:v>
                </c:pt>
                <c:pt idx="83">
                  <c:v>8.3999999999999844</c:v>
                </c:pt>
                <c:pt idx="84">
                  <c:v>8.499999999999984</c:v>
                </c:pt>
                <c:pt idx="85">
                  <c:v>8.5999999999999837</c:v>
                </c:pt>
                <c:pt idx="86">
                  <c:v>8.6999999999999833</c:v>
                </c:pt>
                <c:pt idx="87">
                  <c:v>8.7999999999999829</c:v>
                </c:pt>
                <c:pt idx="88">
                  <c:v>8.8999999999999826</c:v>
                </c:pt>
                <c:pt idx="89">
                  <c:v>8.9999999999999822</c:v>
                </c:pt>
                <c:pt idx="90">
                  <c:v>9.0999999999999819</c:v>
                </c:pt>
              </c:numCache>
            </c:numRef>
          </c:xVal>
          <c:yVal>
            <c:numRef>
              <c:f>軌道!$C$5:$C$95</c:f>
              <c:numCache>
                <c:formatCode>General</c:formatCode>
                <c:ptCount val="91"/>
                <c:pt idx="0">
                  <c:v>126</c:v>
                </c:pt>
                <c:pt idx="1">
                  <c:v>128.18100000000001</c:v>
                </c:pt>
                <c:pt idx="2">
                  <c:v>130.12800000000001</c:v>
                </c:pt>
                <c:pt idx="3">
                  <c:v>131.84699999999998</c:v>
                </c:pt>
                <c:pt idx="4">
                  <c:v>133.34399999999999</c:v>
                </c:pt>
                <c:pt idx="5">
                  <c:v>134.625</c:v>
                </c:pt>
                <c:pt idx="6">
                  <c:v>135.696</c:v>
                </c:pt>
                <c:pt idx="7">
                  <c:v>136.56299999999999</c:v>
                </c:pt>
                <c:pt idx="8">
                  <c:v>137.232</c:v>
                </c:pt>
                <c:pt idx="9">
                  <c:v>137.709</c:v>
                </c:pt>
                <c:pt idx="10">
                  <c:v>138</c:v>
                </c:pt>
                <c:pt idx="11">
                  <c:v>138.11099999999999</c:v>
                </c:pt>
                <c:pt idx="12">
                  <c:v>138.048</c:v>
                </c:pt>
                <c:pt idx="13">
                  <c:v>137.81700000000001</c:v>
                </c:pt>
                <c:pt idx="14">
                  <c:v>137.42399999999998</c:v>
                </c:pt>
                <c:pt idx="15">
                  <c:v>136.875</c:v>
                </c:pt>
                <c:pt idx="16">
                  <c:v>136.17599999999999</c:v>
                </c:pt>
                <c:pt idx="17">
                  <c:v>135.333</c:v>
                </c:pt>
                <c:pt idx="18">
                  <c:v>134.352</c:v>
                </c:pt>
                <c:pt idx="19">
                  <c:v>133.239</c:v>
                </c:pt>
                <c:pt idx="20">
                  <c:v>132</c:v>
                </c:pt>
                <c:pt idx="21">
                  <c:v>130.64099999999999</c:v>
                </c:pt>
                <c:pt idx="22">
                  <c:v>129.16800000000001</c:v>
                </c:pt>
                <c:pt idx="23">
                  <c:v>127.58699999999999</c:v>
                </c:pt>
                <c:pt idx="24">
                  <c:v>125.90399999999998</c:v>
                </c:pt>
                <c:pt idx="25">
                  <c:v>124.12499999999999</c:v>
                </c:pt>
                <c:pt idx="26">
                  <c:v>122.25599999999999</c:v>
                </c:pt>
                <c:pt idx="27">
                  <c:v>120.30299999999997</c:v>
                </c:pt>
                <c:pt idx="28">
                  <c:v>118.27199999999998</c:v>
                </c:pt>
                <c:pt idx="29">
                  <c:v>116.16899999999997</c:v>
                </c:pt>
                <c:pt idx="30">
                  <c:v>113.99999999999997</c:v>
                </c:pt>
                <c:pt idx="31">
                  <c:v>111.77099999999997</c:v>
                </c:pt>
                <c:pt idx="32">
                  <c:v>109.48799999999997</c:v>
                </c:pt>
                <c:pt idx="33">
                  <c:v>107.15699999999997</c:v>
                </c:pt>
                <c:pt idx="34">
                  <c:v>104.78399999999996</c:v>
                </c:pt>
                <c:pt idx="35">
                  <c:v>102.37499999999996</c:v>
                </c:pt>
                <c:pt idx="36">
                  <c:v>99.93599999999995</c:v>
                </c:pt>
                <c:pt idx="37">
                  <c:v>97.472999999999956</c:v>
                </c:pt>
                <c:pt idx="38">
                  <c:v>94.991999999999948</c:v>
                </c:pt>
                <c:pt idx="39">
                  <c:v>92.498999999999953</c:v>
                </c:pt>
                <c:pt idx="40">
                  <c:v>87.501000000000005</c:v>
                </c:pt>
                <c:pt idx="41">
                  <c:v>85.008000000000024</c:v>
                </c:pt>
                <c:pt idx="42">
                  <c:v>82.527000000000029</c:v>
                </c:pt>
                <c:pt idx="43">
                  <c:v>80.064000000000036</c:v>
                </c:pt>
                <c:pt idx="44">
                  <c:v>77.625000000000043</c:v>
                </c:pt>
                <c:pt idx="45">
                  <c:v>75.216000000000051</c:v>
                </c:pt>
                <c:pt idx="46">
                  <c:v>72.84300000000006</c:v>
                </c:pt>
                <c:pt idx="47">
                  <c:v>70.512000000000057</c:v>
                </c:pt>
                <c:pt idx="48">
                  <c:v>68.22900000000007</c:v>
                </c:pt>
                <c:pt idx="49">
                  <c:v>66.000000000000085</c:v>
                </c:pt>
                <c:pt idx="50">
                  <c:v>63.831000000000088</c:v>
                </c:pt>
                <c:pt idx="51">
                  <c:v>61.728000000000087</c:v>
                </c:pt>
                <c:pt idx="52">
                  <c:v>59.697000000000088</c:v>
                </c:pt>
                <c:pt idx="53">
                  <c:v>57.744000000000099</c:v>
                </c:pt>
                <c:pt idx="54">
                  <c:v>55.875000000000099</c:v>
                </c:pt>
                <c:pt idx="55">
                  <c:v>54.096000000000096</c:v>
                </c:pt>
                <c:pt idx="56">
                  <c:v>52.413000000000096</c:v>
                </c:pt>
                <c:pt idx="57">
                  <c:v>50.832000000000093</c:v>
                </c:pt>
                <c:pt idx="58">
                  <c:v>49.359000000000094</c:v>
                </c:pt>
                <c:pt idx="59">
                  <c:v>48.000000000000092</c:v>
                </c:pt>
                <c:pt idx="60">
                  <c:v>46.761000000000088</c:v>
                </c:pt>
                <c:pt idx="61">
                  <c:v>45.648000000000081</c:v>
                </c:pt>
                <c:pt idx="62">
                  <c:v>44.66700000000008</c:v>
                </c:pt>
                <c:pt idx="63">
                  <c:v>43.824000000000069</c:v>
                </c:pt>
                <c:pt idx="64">
                  <c:v>43.125000000000057</c:v>
                </c:pt>
                <c:pt idx="65">
                  <c:v>42.576000000000036</c:v>
                </c:pt>
                <c:pt idx="66">
                  <c:v>42.183000000000035</c:v>
                </c:pt>
                <c:pt idx="67">
                  <c:v>41.952000000000019</c:v>
                </c:pt>
                <c:pt idx="68">
                  <c:v>41.888999999999996</c:v>
                </c:pt>
                <c:pt idx="69">
                  <c:v>41.999999999999986</c:v>
                </c:pt>
                <c:pt idx="70">
                  <c:v>42.290999999999954</c:v>
                </c:pt>
                <c:pt idx="71">
                  <c:v>42.767999999999937</c:v>
                </c:pt>
                <c:pt idx="72">
                  <c:v>43.436999999999912</c:v>
                </c:pt>
                <c:pt idx="73">
                  <c:v>44.303999999999874</c:v>
                </c:pt>
                <c:pt idx="74">
                  <c:v>45.374999999999858</c:v>
                </c:pt>
                <c:pt idx="75">
                  <c:v>46.655999999999814</c:v>
                </c:pt>
                <c:pt idx="76">
                  <c:v>48.152999999999793</c:v>
                </c:pt>
                <c:pt idx="77">
                  <c:v>49.871999999999758</c:v>
                </c:pt>
                <c:pt idx="78">
                  <c:v>51.818999999999711</c:v>
                </c:pt>
                <c:pt idx="79">
                  <c:v>53.999999999999673</c:v>
                </c:pt>
                <c:pt idx="80">
                  <c:v>56.420999999999637</c:v>
                </c:pt>
                <c:pt idx="81">
                  <c:v>59.087999999999582</c:v>
                </c:pt>
                <c:pt idx="82">
                  <c:v>62.006999999999536</c:v>
                </c:pt>
                <c:pt idx="83">
                  <c:v>65.183999999999486</c:v>
                </c:pt>
                <c:pt idx="84">
                  <c:v>68.624999999999432</c:v>
                </c:pt>
                <c:pt idx="85">
                  <c:v>72.335999999999387</c:v>
                </c:pt>
                <c:pt idx="86">
                  <c:v>76.322999999999311</c:v>
                </c:pt>
                <c:pt idx="87">
                  <c:v>80.591999999999246</c:v>
                </c:pt>
                <c:pt idx="88">
                  <c:v>85.148999999999191</c:v>
                </c:pt>
                <c:pt idx="89">
                  <c:v>89.999999999999105</c:v>
                </c:pt>
                <c:pt idx="90">
                  <c:v>95.150999999999044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0064"/>
        <c:axId val="48921984"/>
      </c:scatterChart>
      <c:valAx>
        <c:axId val="4892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921984"/>
        <c:crosses val="autoZero"/>
        <c:crossBetween val="midCat"/>
      </c:valAx>
      <c:valAx>
        <c:axId val="48921984"/>
        <c:scaling>
          <c:orientation val="minMax"/>
          <c:max val="1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920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軌道!$C$4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軌道!$B$5:$B$95</c:f>
              <c:numCache>
                <c:formatCode>General</c:formatCode>
                <c:ptCount val="91"/>
                <c:pt idx="0">
                  <c:v>0</c:v>
                </c:pt>
                <c:pt idx="1">
                  <c:v>3.7810000000000059</c:v>
                </c:pt>
                <c:pt idx="2">
                  <c:v>7.328000000000003</c:v>
                </c:pt>
                <c:pt idx="3">
                  <c:v>10.646999999999998</c:v>
                </c:pt>
                <c:pt idx="4">
                  <c:v>13.743999999999993</c:v>
                </c:pt>
                <c:pt idx="5">
                  <c:v>16.625</c:v>
                </c:pt>
                <c:pt idx="6">
                  <c:v>19.296000000000003</c:v>
                </c:pt>
                <c:pt idx="7">
                  <c:v>21.763000000000002</c:v>
                </c:pt>
                <c:pt idx="8">
                  <c:v>24.031999999999993</c:v>
                </c:pt>
                <c:pt idx="9">
                  <c:v>26.108999999999998</c:v>
                </c:pt>
                <c:pt idx="10">
                  <c:v>28</c:v>
                </c:pt>
                <c:pt idx="11">
                  <c:v>29.710999999999991</c:v>
                </c:pt>
                <c:pt idx="12">
                  <c:v>31.248000000000005</c:v>
                </c:pt>
                <c:pt idx="13">
                  <c:v>32.616999999999997</c:v>
                </c:pt>
                <c:pt idx="14">
                  <c:v>33.824000000000005</c:v>
                </c:pt>
                <c:pt idx="15">
                  <c:v>34.875</c:v>
                </c:pt>
                <c:pt idx="16">
                  <c:v>35.776000000000003</c:v>
                </c:pt>
                <c:pt idx="17">
                  <c:v>36.533000000000001</c:v>
                </c:pt>
                <c:pt idx="18">
                  <c:v>37.152000000000001</c:v>
                </c:pt>
                <c:pt idx="19">
                  <c:v>37.639000000000003</c:v>
                </c:pt>
                <c:pt idx="20">
                  <c:v>38</c:v>
                </c:pt>
                <c:pt idx="21">
                  <c:v>38.241</c:v>
                </c:pt>
                <c:pt idx="22">
                  <c:v>38.368000000000002</c:v>
                </c:pt>
                <c:pt idx="23">
                  <c:v>38.387</c:v>
                </c:pt>
                <c:pt idx="24">
                  <c:v>38.304000000000002</c:v>
                </c:pt>
                <c:pt idx="25">
                  <c:v>38.125</c:v>
                </c:pt>
                <c:pt idx="26">
                  <c:v>37.855999999999995</c:v>
                </c:pt>
                <c:pt idx="27">
                  <c:v>37.503</c:v>
                </c:pt>
                <c:pt idx="28">
                  <c:v>37.071999999999996</c:v>
                </c:pt>
                <c:pt idx="29">
                  <c:v>36.568999999999988</c:v>
                </c:pt>
                <c:pt idx="30">
                  <c:v>35.999999999999993</c:v>
                </c:pt>
                <c:pt idx="31">
                  <c:v>35.370999999999988</c:v>
                </c:pt>
                <c:pt idx="32">
                  <c:v>34.687999999999988</c:v>
                </c:pt>
                <c:pt idx="33">
                  <c:v>33.956999999999987</c:v>
                </c:pt>
                <c:pt idx="34">
                  <c:v>33.183999999999983</c:v>
                </c:pt>
                <c:pt idx="35">
                  <c:v>32.374999999999986</c:v>
                </c:pt>
                <c:pt idx="36">
                  <c:v>31.535999999999984</c:v>
                </c:pt>
                <c:pt idx="37">
                  <c:v>30.672999999999984</c:v>
                </c:pt>
                <c:pt idx="38">
                  <c:v>29.79199999999998</c:v>
                </c:pt>
                <c:pt idx="39">
                  <c:v>28.89899999999998</c:v>
                </c:pt>
                <c:pt idx="40">
                  <c:v>27.101000000000003</c:v>
                </c:pt>
                <c:pt idx="41">
                  <c:v>26.208000000000006</c:v>
                </c:pt>
                <c:pt idx="42">
                  <c:v>25.327000000000009</c:v>
                </c:pt>
                <c:pt idx="43">
                  <c:v>24.464000000000013</c:v>
                </c:pt>
                <c:pt idx="44">
                  <c:v>23.625000000000014</c:v>
                </c:pt>
                <c:pt idx="45">
                  <c:v>22.816000000000017</c:v>
                </c:pt>
                <c:pt idx="46">
                  <c:v>22.043000000000021</c:v>
                </c:pt>
                <c:pt idx="47">
                  <c:v>21.312000000000019</c:v>
                </c:pt>
                <c:pt idx="48">
                  <c:v>20.629000000000019</c:v>
                </c:pt>
                <c:pt idx="49">
                  <c:v>20.000000000000021</c:v>
                </c:pt>
                <c:pt idx="50">
                  <c:v>19.431000000000019</c:v>
                </c:pt>
                <c:pt idx="51">
                  <c:v>18.928000000000019</c:v>
                </c:pt>
                <c:pt idx="52">
                  <c:v>18.497000000000018</c:v>
                </c:pt>
                <c:pt idx="53">
                  <c:v>18.144000000000016</c:v>
                </c:pt>
                <c:pt idx="54">
                  <c:v>17.875000000000014</c:v>
                </c:pt>
                <c:pt idx="55">
                  <c:v>17.696000000000009</c:v>
                </c:pt>
                <c:pt idx="56">
                  <c:v>17.613</c:v>
                </c:pt>
                <c:pt idx="57">
                  <c:v>17.631999999999994</c:v>
                </c:pt>
                <c:pt idx="58">
                  <c:v>17.75899999999999</c:v>
                </c:pt>
                <c:pt idx="59">
                  <c:v>17.999999999999979</c:v>
                </c:pt>
                <c:pt idx="60">
                  <c:v>18.360999999999969</c:v>
                </c:pt>
                <c:pt idx="61">
                  <c:v>18.847999999999956</c:v>
                </c:pt>
                <c:pt idx="62">
                  <c:v>19.466999999999949</c:v>
                </c:pt>
                <c:pt idx="63">
                  <c:v>20.223999999999929</c:v>
                </c:pt>
                <c:pt idx="64">
                  <c:v>21.124999999999911</c:v>
                </c:pt>
                <c:pt idx="65">
                  <c:v>22.175999999999895</c:v>
                </c:pt>
                <c:pt idx="66">
                  <c:v>23.382999999999878</c:v>
                </c:pt>
                <c:pt idx="67">
                  <c:v>24.751999999999853</c:v>
                </c:pt>
                <c:pt idx="68">
                  <c:v>26.288999999999831</c:v>
                </c:pt>
                <c:pt idx="69">
                  <c:v>27.999999999999808</c:v>
                </c:pt>
                <c:pt idx="70">
                  <c:v>29.890999999999785</c:v>
                </c:pt>
                <c:pt idx="71">
                  <c:v>31.967999999999755</c:v>
                </c:pt>
                <c:pt idx="72">
                  <c:v>34.236999999999718</c:v>
                </c:pt>
                <c:pt idx="73">
                  <c:v>36.703999999999681</c:v>
                </c:pt>
                <c:pt idx="74">
                  <c:v>39.374999999999659</c:v>
                </c:pt>
                <c:pt idx="75">
                  <c:v>42.255999999999617</c:v>
                </c:pt>
                <c:pt idx="76">
                  <c:v>45.352999999999582</c:v>
                </c:pt>
                <c:pt idx="77">
                  <c:v>48.671999999999542</c:v>
                </c:pt>
                <c:pt idx="78">
                  <c:v>52.218999999999497</c:v>
                </c:pt>
                <c:pt idx="79">
                  <c:v>55.999999999999446</c:v>
                </c:pt>
                <c:pt idx="80">
                  <c:v>60.020999999999397</c:v>
                </c:pt>
                <c:pt idx="81">
                  <c:v>64.287999999999343</c:v>
                </c:pt>
                <c:pt idx="82">
                  <c:v>68.806999999999292</c:v>
                </c:pt>
                <c:pt idx="83">
                  <c:v>73.583999999999236</c:v>
                </c:pt>
                <c:pt idx="84">
                  <c:v>78.624999999999176</c:v>
                </c:pt>
                <c:pt idx="85">
                  <c:v>83.935999999999126</c:v>
                </c:pt>
                <c:pt idx="86">
                  <c:v>89.522999999999058</c:v>
                </c:pt>
                <c:pt idx="87">
                  <c:v>95.391999999998973</c:v>
                </c:pt>
                <c:pt idx="88">
                  <c:v>101.5489999999989</c:v>
                </c:pt>
                <c:pt idx="89">
                  <c:v>107.99999999999882</c:v>
                </c:pt>
                <c:pt idx="90">
                  <c:v>114.75099999999875</c:v>
                </c:pt>
              </c:numCache>
            </c:numRef>
          </c:xVal>
          <c:yVal>
            <c:numRef>
              <c:f>軌道!$C$5:$C$95</c:f>
              <c:numCache>
                <c:formatCode>General</c:formatCode>
                <c:ptCount val="91"/>
                <c:pt idx="0">
                  <c:v>126</c:v>
                </c:pt>
                <c:pt idx="1">
                  <c:v>128.18100000000001</c:v>
                </c:pt>
                <c:pt idx="2">
                  <c:v>130.12800000000001</c:v>
                </c:pt>
                <c:pt idx="3">
                  <c:v>131.84699999999998</c:v>
                </c:pt>
                <c:pt idx="4">
                  <c:v>133.34399999999999</c:v>
                </c:pt>
                <c:pt idx="5">
                  <c:v>134.625</c:v>
                </c:pt>
                <c:pt idx="6">
                  <c:v>135.696</c:v>
                </c:pt>
                <c:pt idx="7">
                  <c:v>136.56299999999999</c:v>
                </c:pt>
                <c:pt idx="8">
                  <c:v>137.232</c:v>
                </c:pt>
                <c:pt idx="9">
                  <c:v>137.709</c:v>
                </c:pt>
                <c:pt idx="10">
                  <c:v>138</c:v>
                </c:pt>
                <c:pt idx="11">
                  <c:v>138.11099999999999</c:v>
                </c:pt>
                <c:pt idx="12">
                  <c:v>138.048</c:v>
                </c:pt>
                <c:pt idx="13">
                  <c:v>137.81700000000001</c:v>
                </c:pt>
                <c:pt idx="14">
                  <c:v>137.42399999999998</c:v>
                </c:pt>
                <c:pt idx="15">
                  <c:v>136.875</c:v>
                </c:pt>
                <c:pt idx="16">
                  <c:v>136.17599999999999</c:v>
                </c:pt>
                <c:pt idx="17">
                  <c:v>135.333</c:v>
                </c:pt>
                <c:pt idx="18">
                  <c:v>134.352</c:v>
                </c:pt>
                <c:pt idx="19">
                  <c:v>133.239</c:v>
                </c:pt>
                <c:pt idx="20">
                  <c:v>132</c:v>
                </c:pt>
                <c:pt idx="21">
                  <c:v>130.64099999999999</c:v>
                </c:pt>
                <c:pt idx="22">
                  <c:v>129.16800000000001</c:v>
                </c:pt>
                <c:pt idx="23">
                  <c:v>127.58699999999999</c:v>
                </c:pt>
                <c:pt idx="24">
                  <c:v>125.90399999999998</c:v>
                </c:pt>
                <c:pt idx="25">
                  <c:v>124.12499999999999</c:v>
                </c:pt>
                <c:pt idx="26">
                  <c:v>122.25599999999999</c:v>
                </c:pt>
                <c:pt idx="27">
                  <c:v>120.30299999999997</c:v>
                </c:pt>
                <c:pt idx="28">
                  <c:v>118.27199999999998</c:v>
                </c:pt>
                <c:pt idx="29">
                  <c:v>116.16899999999997</c:v>
                </c:pt>
                <c:pt idx="30">
                  <c:v>113.99999999999997</c:v>
                </c:pt>
                <c:pt idx="31">
                  <c:v>111.77099999999997</c:v>
                </c:pt>
                <c:pt idx="32">
                  <c:v>109.48799999999997</c:v>
                </c:pt>
                <c:pt idx="33">
                  <c:v>107.15699999999997</c:v>
                </c:pt>
                <c:pt idx="34">
                  <c:v>104.78399999999996</c:v>
                </c:pt>
                <c:pt idx="35">
                  <c:v>102.37499999999996</c:v>
                </c:pt>
                <c:pt idx="36">
                  <c:v>99.93599999999995</c:v>
                </c:pt>
                <c:pt idx="37">
                  <c:v>97.472999999999956</c:v>
                </c:pt>
                <c:pt idx="38">
                  <c:v>94.991999999999948</c:v>
                </c:pt>
                <c:pt idx="39">
                  <c:v>92.498999999999953</c:v>
                </c:pt>
                <c:pt idx="40">
                  <c:v>87.501000000000005</c:v>
                </c:pt>
                <c:pt idx="41">
                  <c:v>85.008000000000024</c:v>
                </c:pt>
                <c:pt idx="42">
                  <c:v>82.527000000000029</c:v>
                </c:pt>
                <c:pt idx="43">
                  <c:v>80.064000000000036</c:v>
                </c:pt>
                <c:pt idx="44">
                  <c:v>77.625000000000043</c:v>
                </c:pt>
                <c:pt idx="45">
                  <c:v>75.216000000000051</c:v>
                </c:pt>
                <c:pt idx="46">
                  <c:v>72.84300000000006</c:v>
                </c:pt>
                <c:pt idx="47">
                  <c:v>70.512000000000057</c:v>
                </c:pt>
                <c:pt idx="48">
                  <c:v>68.22900000000007</c:v>
                </c:pt>
                <c:pt idx="49">
                  <c:v>66.000000000000085</c:v>
                </c:pt>
                <c:pt idx="50">
                  <c:v>63.831000000000088</c:v>
                </c:pt>
                <c:pt idx="51">
                  <c:v>61.728000000000087</c:v>
                </c:pt>
                <c:pt idx="52">
                  <c:v>59.697000000000088</c:v>
                </c:pt>
                <c:pt idx="53">
                  <c:v>57.744000000000099</c:v>
                </c:pt>
                <c:pt idx="54">
                  <c:v>55.875000000000099</c:v>
                </c:pt>
                <c:pt idx="55">
                  <c:v>54.096000000000096</c:v>
                </c:pt>
                <c:pt idx="56">
                  <c:v>52.413000000000096</c:v>
                </c:pt>
                <c:pt idx="57">
                  <c:v>50.832000000000093</c:v>
                </c:pt>
                <c:pt idx="58">
                  <c:v>49.359000000000094</c:v>
                </c:pt>
                <c:pt idx="59">
                  <c:v>48.000000000000092</c:v>
                </c:pt>
                <c:pt idx="60">
                  <c:v>46.761000000000088</c:v>
                </c:pt>
                <c:pt idx="61">
                  <c:v>45.648000000000081</c:v>
                </c:pt>
                <c:pt idx="62">
                  <c:v>44.66700000000008</c:v>
                </c:pt>
                <c:pt idx="63">
                  <c:v>43.824000000000069</c:v>
                </c:pt>
                <c:pt idx="64">
                  <c:v>43.125000000000057</c:v>
                </c:pt>
                <c:pt idx="65">
                  <c:v>42.576000000000036</c:v>
                </c:pt>
                <c:pt idx="66">
                  <c:v>42.183000000000035</c:v>
                </c:pt>
                <c:pt idx="67">
                  <c:v>41.952000000000019</c:v>
                </c:pt>
                <c:pt idx="68">
                  <c:v>41.888999999999996</c:v>
                </c:pt>
                <c:pt idx="69">
                  <c:v>41.999999999999986</c:v>
                </c:pt>
                <c:pt idx="70">
                  <c:v>42.290999999999954</c:v>
                </c:pt>
                <c:pt idx="71">
                  <c:v>42.767999999999937</c:v>
                </c:pt>
                <c:pt idx="72">
                  <c:v>43.436999999999912</c:v>
                </c:pt>
                <c:pt idx="73">
                  <c:v>44.303999999999874</c:v>
                </c:pt>
                <c:pt idx="74">
                  <c:v>45.374999999999858</c:v>
                </c:pt>
                <c:pt idx="75">
                  <c:v>46.655999999999814</c:v>
                </c:pt>
                <c:pt idx="76">
                  <c:v>48.152999999999793</c:v>
                </c:pt>
                <c:pt idx="77">
                  <c:v>49.871999999999758</c:v>
                </c:pt>
                <c:pt idx="78">
                  <c:v>51.818999999999711</c:v>
                </c:pt>
                <c:pt idx="79">
                  <c:v>53.999999999999673</c:v>
                </c:pt>
                <c:pt idx="80">
                  <c:v>56.420999999999637</c:v>
                </c:pt>
                <c:pt idx="81">
                  <c:v>59.087999999999582</c:v>
                </c:pt>
                <c:pt idx="82">
                  <c:v>62.006999999999536</c:v>
                </c:pt>
                <c:pt idx="83">
                  <c:v>65.183999999999486</c:v>
                </c:pt>
                <c:pt idx="84">
                  <c:v>68.624999999999432</c:v>
                </c:pt>
                <c:pt idx="85">
                  <c:v>72.335999999999387</c:v>
                </c:pt>
                <c:pt idx="86">
                  <c:v>76.322999999999311</c:v>
                </c:pt>
                <c:pt idx="87">
                  <c:v>80.591999999999246</c:v>
                </c:pt>
                <c:pt idx="88">
                  <c:v>85.148999999999191</c:v>
                </c:pt>
                <c:pt idx="89">
                  <c:v>89.999999999999105</c:v>
                </c:pt>
                <c:pt idx="90">
                  <c:v>95.150999999999044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71552"/>
        <c:axId val="49274240"/>
      </c:scatterChart>
      <c:valAx>
        <c:axId val="49271552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49274240"/>
        <c:crosses val="autoZero"/>
        <c:crossBetween val="midCat"/>
      </c:valAx>
      <c:valAx>
        <c:axId val="49274240"/>
        <c:scaling>
          <c:orientation val="minMax"/>
          <c:max val="160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sz="1800"/>
                  <a:t>x</a:t>
                </a:r>
                <a:endParaRPr lang="ja-JP" altLang="en-US" sz="18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27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道路幅員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軌道!$C$4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軌道!$B$5:$B$95</c:f>
              <c:numCache>
                <c:formatCode>General</c:formatCode>
                <c:ptCount val="91"/>
                <c:pt idx="0">
                  <c:v>0</c:v>
                </c:pt>
                <c:pt idx="1">
                  <c:v>3.7810000000000059</c:v>
                </c:pt>
                <c:pt idx="2">
                  <c:v>7.328000000000003</c:v>
                </c:pt>
                <c:pt idx="3">
                  <c:v>10.646999999999998</c:v>
                </c:pt>
                <c:pt idx="4">
                  <c:v>13.743999999999993</c:v>
                </c:pt>
                <c:pt idx="5">
                  <c:v>16.625</c:v>
                </c:pt>
                <c:pt idx="6">
                  <c:v>19.296000000000003</c:v>
                </c:pt>
                <c:pt idx="7">
                  <c:v>21.763000000000002</c:v>
                </c:pt>
                <c:pt idx="8">
                  <c:v>24.031999999999993</c:v>
                </c:pt>
                <c:pt idx="9">
                  <c:v>26.108999999999998</c:v>
                </c:pt>
                <c:pt idx="10">
                  <c:v>28</c:v>
                </c:pt>
                <c:pt idx="11">
                  <c:v>29.710999999999991</c:v>
                </c:pt>
                <c:pt idx="12">
                  <c:v>31.248000000000005</c:v>
                </c:pt>
                <c:pt idx="13">
                  <c:v>32.616999999999997</c:v>
                </c:pt>
                <c:pt idx="14">
                  <c:v>33.824000000000005</c:v>
                </c:pt>
                <c:pt idx="15">
                  <c:v>34.875</c:v>
                </c:pt>
                <c:pt idx="16">
                  <c:v>35.776000000000003</c:v>
                </c:pt>
                <c:pt idx="17">
                  <c:v>36.533000000000001</c:v>
                </c:pt>
                <c:pt idx="18">
                  <c:v>37.152000000000001</c:v>
                </c:pt>
                <c:pt idx="19">
                  <c:v>37.639000000000003</c:v>
                </c:pt>
                <c:pt idx="20">
                  <c:v>38</c:v>
                </c:pt>
                <c:pt idx="21">
                  <c:v>38.241</c:v>
                </c:pt>
                <c:pt idx="22">
                  <c:v>38.368000000000002</c:v>
                </c:pt>
                <c:pt idx="23">
                  <c:v>38.387</c:v>
                </c:pt>
                <c:pt idx="24">
                  <c:v>38.304000000000002</c:v>
                </c:pt>
                <c:pt idx="25">
                  <c:v>38.125</c:v>
                </c:pt>
                <c:pt idx="26">
                  <c:v>37.855999999999995</c:v>
                </c:pt>
                <c:pt idx="27">
                  <c:v>37.503</c:v>
                </c:pt>
                <c:pt idx="28">
                  <c:v>37.071999999999996</c:v>
                </c:pt>
                <c:pt idx="29">
                  <c:v>36.568999999999988</c:v>
                </c:pt>
                <c:pt idx="30">
                  <c:v>35.999999999999993</c:v>
                </c:pt>
                <c:pt idx="31">
                  <c:v>35.370999999999988</c:v>
                </c:pt>
                <c:pt idx="32">
                  <c:v>34.687999999999988</c:v>
                </c:pt>
                <c:pt idx="33">
                  <c:v>33.956999999999987</c:v>
                </c:pt>
                <c:pt idx="34">
                  <c:v>33.183999999999983</c:v>
                </c:pt>
                <c:pt idx="35">
                  <c:v>32.374999999999986</c:v>
                </c:pt>
                <c:pt idx="36">
                  <c:v>31.535999999999984</c:v>
                </c:pt>
                <c:pt idx="37">
                  <c:v>30.672999999999984</c:v>
                </c:pt>
                <c:pt idx="38">
                  <c:v>29.79199999999998</c:v>
                </c:pt>
                <c:pt idx="39">
                  <c:v>28.89899999999998</c:v>
                </c:pt>
                <c:pt idx="40">
                  <c:v>27.101000000000003</c:v>
                </c:pt>
                <c:pt idx="41">
                  <c:v>26.208000000000006</c:v>
                </c:pt>
                <c:pt idx="42">
                  <c:v>25.327000000000009</c:v>
                </c:pt>
                <c:pt idx="43">
                  <c:v>24.464000000000013</c:v>
                </c:pt>
                <c:pt idx="44">
                  <c:v>23.625000000000014</c:v>
                </c:pt>
                <c:pt idx="45">
                  <c:v>22.816000000000017</c:v>
                </c:pt>
                <c:pt idx="46">
                  <c:v>22.043000000000021</c:v>
                </c:pt>
                <c:pt idx="47">
                  <c:v>21.312000000000019</c:v>
                </c:pt>
                <c:pt idx="48">
                  <c:v>20.629000000000019</c:v>
                </c:pt>
                <c:pt idx="49">
                  <c:v>20.000000000000021</c:v>
                </c:pt>
                <c:pt idx="50">
                  <c:v>19.431000000000019</c:v>
                </c:pt>
                <c:pt idx="51">
                  <c:v>18.928000000000019</c:v>
                </c:pt>
                <c:pt idx="52">
                  <c:v>18.497000000000018</c:v>
                </c:pt>
                <c:pt idx="53">
                  <c:v>18.144000000000016</c:v>
                </c:pt>
                <c:pt idx="54">
                  <c:v>17.875000000000014</c:v>
                </c:pt>
                <c:pt idx="55">
                  <c:v>17.696000000000009</c:v>
                </c:pt>
                <c:pt idx="56">
                  <c:v>17.613</c:v>
                </c:pt>
                <c:pt idx="57">
                  <c:v>17.631999999999994</c:v>
                </c:pt>
                <c:pt idx="58">
                  <c:v>17.75899999999999</c:v>
                </c:pt>
                <c:pt idx="59">
                  <c:v>17.999999999999979</c:v>
                </c:pt>
                <c:pt idx="60">
                  <c:v>18.360999999999969</c:v>
                </c:pt>
                <c:pt idx="61">
                  <c:v>18.847999999999956</c:v>
                </c:pt>
                <c:pt idx="62">
                  <c:v>19.466999999999949</c:v>
                </c:pt>
                <c:pt idx="63">
                  <c:v>20.223999999999929</c:v>
                </c:pt>
                <c:pt idx="64">
                  <c:v>21.124999999999911</c:v>
                </c:pt>
                <c:pt idx="65">
                  <c:v>22.175999999999895</c:v>
                </c:pt>
                <c:pt idx="66">
                  <c:v>23.382999999999878</c:v>
                </c:pt>
                <c:pt idx="67">
                  <c:v>24.751999999999853</c:v>
                </c:pt>
                <c:pt idx="68">
                  <c:v>26.288999999999831</c:v>
                </c:pt>
                <c:pt idx="69">
                  <c:v>27.999999999999808</c:v>
                </c:pt>
                <c:pt idx="70">
                  <c:v>29.890999999999785</c:v>
                </c:pt>
                <c:pt idx="71">
                  <c:v>31.967999999999755</c:v>
                </c:pt>
                <c:pt idx="72">
                  <c:v>34.236999999999718</c:v>
                </c:pt>
                <c:pt idx="73">
                  <c:v>36.703999999999681</c:v>
                </c:pt>
                <c:pt idx="74">
                  <c:v>39.374999999999659</c:v>
                </c:pt>
                <c:pt idx="75">
                  <c:v>42.255999999999617</c:v>
                </c:pt>
                <c:pt idx="76">
                  <c:v>45.352999999999582</c:v>
                </c:pt>
                <c:pt idx="77">
                  <c:v>48.671999999999542</c:v>
                </c:pt>
                <c:pt idx="78">
                  <c:v>52.218999999999497</c:v>
                </c:pt>
                <c:pt idx="79">
                  <c:v>55.999999999999446</c:v>
                </c:pt>
                <c:pt idx="80">
                  <c:v>60.020999999999397</c:v>
                </c:pt>
                <c:pt idx="81">
                  <c:v>64.287999999999343</c:v>
                </c:pt>
                <c:pt idx="82">
                  <c:v>68.806999999999292</c:v>
                </c:pt>
                <c:pt idx="83">
                  <c:v>73.583999999999236</c:v>
                </c:pt>
                <c:pt idx="84">
                  <c:v>78.624999999999176</c:v>
                </c:pt>
                <c:pt idx="85">
                  <c:v>83.935999999999126</c:v>
                </c:pt>
                <c:pt idx="86">
                  <c:v>89.522999999999058</c:v>
                </c:pt>
                <c:pt idx="87">
                  <c:v>95.391999999998973</c:v>
                </c:pt>
                <c:pt idx="88">
                  <c:v>101.5489999999989</c:v>
                </c:pt>
                <c:pt idx="89">
                  <c:v>107.99999999999882</c:v>
                </c:pt>
                <c:pt idx="90">
                  <c:v>114.75099999999875</c:v>
                </c:pt>
              </c:numCache>
            </c:numRef>
          </c:xVal>
          <c:yVal>
            <c:numRef>
              <c:f>軌道!$C$5:$C$95</c:f>
              <c:numCache>
                <c:formatCode>General</c:formatCode>
                <c:ptCount val="91"/>
                <c:pt idx="0">
                  <c:v>126</c:v>
                </c:pt>
                <c:pt idx="1">
                  <c:v>128.18100000000001</c:v>
                </c:pt>
                <c:pt idx="2">
                  <c:v>130.12800000000001</c:v>
                </c:pt>
                <c:pt idx="3">
                  <c:v>131.84699999999998</c:v>
                </c:pt>
                <c:pt idx="4">
                  <c:v>133.34399999999999</c:v>
                </c:pt>
                <c:pt idx="5">
                  <c:v>134.625</c:v>
                </c:pt>
                <c:pt idx="6">
                  <c:v>135.696</c:v>
                </c:pt>
                <c:pt idx="7">
                  <c:v>136.56299999999999</c:v>
                </c:pt>
                <c:pt idx="8">
                  <c:v>137.232</c:v>
                </c:pt>
                <c:pt idx="9">
                  <c:v>137.709</c:v>
                </c:pt>
                <c:pt idx="10">
                  <c:v>138</c:v>
                </c:pt>
                <c:pt idx="11">
                  <c:v>138.11099999999999</c:v>
                </c:pt>
                <c:pt idx="12">
                  <c:v>138.048</c:v>
                </c:pt>
                <c:pt idx="13">
                  <c:v>137.81700000000001</c:v>
                </c:pt>
                <c:pt idx="14">
                  <c:v>137.42399999999998</c:v>
                </c:pt>
                <c:pt idx="15">
                  <c:v>136.875</c:v>
                </c:pt>
                <c:pt idx="16">
                  <c:v>136.17599999999999</c:v>
                </c:pt>
                <c:pt idx="17">
                  <c:v>135.333</c:v>
                </c:pt>
                <c:pt idx="18">
                  <c:v>134.352</c:v>
                </c:pt>
                <c:pt idx="19">
                  <c:v>133.239</c:v>
                </c:pt>
                <c:pt idx="20">
                  <c:v>132</c:v>
                </c:pt>
                <c:pt idx="21">
                  <c:v>130.64099999999999</c:v>
                </c:pt>
                <c:pt idx="22">
                  <c:v>129.16800000000001</c:v>
                </c:pt>
                <c:pt idx="23">
                  <c:v>127.58699999999999</c:v>
                </c:pt>
                <c:pt idx="24">
                  <c:v>125.90399999999998</c:v>
                </c:pt>
                <c:pt idx="25">
                  <c:v>124.12499999999999</c:v>
                </c:pt>
                <c:pt idx="26">
                  <c:v>122.25599999999999</c:v>
                </c:pt>
                <c:pt idx="27">
                  <c:v>120.30299999999997</c:v>
                </c:pt>
                <c:pt idx="28">
                  <c:v>118.27199999999998</c:v>
                </c:pt>
                <c:pt idx="29">
                  <c:v>116.16899999999997</c:v>
                </c:pt>
                <c:pt idx="30">
                  <c:v>113.99999999999997</c:v>
                </c:pt>
                <c:pt idx="31">
                  <c:v>111.77099999999997</c:v>
                </c:pt>
                <c:pt idx="32">
                  <c:v>109.48799999999997</c:v>
                </c:pt>
                <c:pt idx="33">
                  <c:v>107.15699999999997</c:v>
                </c:pt>
                <c:pt idx="34">
                  <c:v>104.78399999999996</c:v>
                </c:pt>
                <c:pt idx="35">
                  <c:v>102.37499999999996</c:v>
                </c:pt>
                <c:pt idx="36">
                  <c:v>99.93599999999995</c:v>
                </c:pt>
                <c:pt idx="37">
                  <c:v>97.472999999999956</c:v>
                </c:pt>
                <c:pt idx="38">
                  <c:v>94.991999999999948</c:v>
                </c:pt>
                <c:pt idx="39">
                  <c:v>92.498999999999953</c:v>
                </c:pt>
                <c:pt idx="40">
                  <c:v>87.501000000000005</c:v>
                </c:pt>
                <c:pt idx="41">
                  <c:v>85.008000000000024</c:v>
                </c:pt>
                <c:pt idx="42">
                  <c:v>82.527000000000029</c:v>
                </c:pt>
                <c:pt idx="43">
                  <c:v>80.064000000000036</c:v>
                </c:pt>
                <c:pt idx="44">
                  <c:v>77.625000000000043</c:v>
                </c:pt>
                <c:pt idx="45">
                  <c:v>75.216000000000051</c:v>
                </c:pt>
                <c:pt idx="46">
                  <c:v>72.84300000000006</c:v>
                </c:pt>
                <c:pt idx="47">
                  <c:v>70.512000000000057</c:v>
                </c:pt>
                <c:pt idx="48">
                  <c:v>68.22900000000007</c:v>
                </c:pt>
                <c:pt idx="49">
                  <c:v>66.000000000000085</c:v>
                </c:pt>
                <c:pt idx="50">
                  <c:v>63.831000000000088</c:v>
                </c:pt>
                <c:pt idx="51">
                  <c:v>61.728000000000087</c:v>
                </c:pt>
                <c:pt idx="52">
                  <c:v>59.697000000000088</c:v>
                </c:pt>
                <c:pt idx="53">
                  <c:v>57.744000000000099</c:v>
                </c:pt>
                <c:pt idx="54">
                  <c:v>55.875000000000099</c:v>
                </c:pt>
                <c:pt idx="55">
                  <c:v>54.096000000000096</c:v>
                </c:pt>
                <c:pt idx="56">
                  <c:v>52.413000000000096</c:v>
                </c:pt>
                <c:pt idx="57">
                  <c:v>50.832000000000093</c:v>
                </c:pt>
                <c:pt idx="58">
                  <c:v>49.359000000000094</c:v>
                </c:pt>
                <c:pt idx="59">
                  <c:v>48.000000000000092</c:v>
                </c:pt>
                <c:pt idx="60">
                  <c:v>46.761000000000088</c:v>
                </c:pt>
                <c:pt idx="61">
                  <c:v>45.648000000000081</c:v>
                </c:pt>
                <c:pt idx="62">
                  <c:v>44.66700000000008</c:v>
                </c:pt>
                <c:pt idx="63">
                  <c:v>43.824000000000069</c:v>
                </c:pt>
                <c:pt idx="64">
                  <c:v>43.125000000000057</c:v>
                </c:pt>
                <c:pt idx="65">
                  <c:v>42.576000000000036</c:v>
                </c:pt>
                <c:pt idx="66">
                  <c:v>42.183000000000035</c:v>
                </c:pt>
                <c:pt idx="67">
                  <c:v>41.952000000000019</c:v>
                </c:pt>
                <c:pt idx="68">
                  <c:v>41.888999999999996</c:v>
                </c:pt>
                <c:pt idx="69">
                  <c:v>41.999999999999986</c:v>
                </c:pt>
                <c:pt idx="70">
                  <c:v>42.290999999999954</c:v>
                </c:pt>
                <c:pt idx="71">
                  <c:v>42.767999999999937</c:v>
                </c:pt>
                <c:pt idx="72">
                  <c:v>43.436999999999912</c:v>
                </c:pt>
                <c:pt idx="73">
                  <c:v>44.303999999999874</c:v>
                </c:pt>
                <c:pt idx="74">
                  <c:v>45.374999999999858</c:v>
                </c:pt>
                <c:pt idx="75">
                  <c:v>46.655999999999814</c:v>
                </c:pt>
                <c:pt idx="76">
                  <c:v>48.152999999999793</c:v>
                </c:pt>
                <c:pt idx="77">
                  <c:v>49.871999999999758</c:v>
                </c:pt>
                <c:pt idx="78">
                  <c:v>51.818999999999711</c:v>
                </c:pt>
                <c:pt idx="79">
                  <c:v>53.999999999999673</c:v>
                </c:pt>
                <c:pt idx="80">
                  <c:v>56.420999999999637</c:v>
                </c:pt>
                <c:pt idx="81">
                  <c:v>59.087999999999582</c:v>
                </c:pt>
                <c:pt idx="82">
                  <c:v>62.006999999999536</c:v>
                </c:pt>
                <c:pt idx="83">
                  <c:v>65.183999999999486</c:v>
                </c:pt>
                <c:pt idx="84">
                  <c:v>68.624999999999432</c:v>
                </c:pt>
                <c:pt idx="85">
                  <c:v>72.335999999999387</c:v>
                </c:pt>
                <c:pt idx="86">
                  <c:v>76.322999999999311</c:v>
                </c:pt>
                <c:pt idx="87">
                  <c:v>80.591999999999246</c:v>
                </c:pt>
                <c:pt idx="88">
                  <c:v>85.148999999999191</c:v>
                </c:pt>
                <c:pt idx="89">
                  <c:v>89.999999999999105</c:v>
                </c:pt>
                <c:pt idx="90">
                  <c:v>95.150999999999044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軌道!$L$4</c:f>
              <c:strCache>
                <c:ptCount val="1"/>
                <c:pt idx="0">
                  <c:v>y10</c:v>
                </c:pt>
              </c:strCache>
            </c:strRef>
          </c:tx>
          <c:marker>
            <c:symbol val="none"/>
          </c:marker>
          <c:xVal>
            <c:numRef>
              <c:f>軌道!$K$5:$K$95</c:f>
              <c:numCache>
                <c:formatCode>General</c:formatCode>
                <c:ptCount val="91"/>
                <c:pt idx="0">
                  <c:v>-2.53992509972147</c:v>
                </c:pt>
                <c:pt idx="1">
                  <c:v>1.3273789814531902</c:v>
                </c:pt>
                <c:pt idx="2">
                  <c:v>4.9734579994743715</c:v>
                </c:pt>
                <c:pt idx="3">
                  <c:v>8.4070300015878168</c:v>
                </c:pt>
                <c:pt idx="4">
                  <c:v>11.637551731043143</c:v>
                </c:pt>
                <c:pt idx="5">
                  <c:v>14.675446960359819</c:v>
                </c:pt>
                <c:pt idx="6">
                  <c:v>17.532398927125822</c:v>
                </c:pt>
                <c:pt idx="7">
                  <c:v>20.221705112243139</c:v>
                </c:pt>
                <c:pt idx="8">
                  <c:v>22.758656915990528</c:v>
                </c:pt>
                <c:pt idx="9">
                  <c:v>25.160814964634412</c:v>
                </c:pt>
                <c:pt idx="10">
                  <c:v>27.447842369625768</c:v>
                </c:pt>
                <c:pt idx="11">
                  <c:v>29.640150675120942</c:v>
                </c:pt>
                <c:pt idx="12">
                  <c:v>31.755014890220103</c:v>
                </c:pt>
                <c:pt idx="13">
                  <c:v>33.798565241227116</c:v>
                </c:pt>
                <c:pt idx="14">
                  <c:v>35.754043094611973</c:v>
                </c:pt>
                <c:pt idx="15">
                  <c:v>37.573330573602156</c:v>
                </c:pt>
                <c:pt idx="16">
                  <c:v>39.185702415689633</c:v>
                </c:pt>
                <c:pt idx="17">
                  <c:v>40.528268979026087</c:v>
                </c:pt>
                <c:pt idx="18">
                  <c:v>41.575858356968688</c:v>
                </c:pt>
                <c:pt idx="19">
                  <c:v>42.344353700364238</c:v>
                </c:pt>
                <c:pt idx="20">
                  <c:v>42.871955978473096</c:v>
                </c:pt>
                <c:pt idx="21">
                  <c:v>43.199817664046144</c:v>
                </c:pt>
                <c:pt idx="22">
                  <c:v>43.362458391778695</c:v>
                </c:pt>
                <c:pt idx="23">
                  <c:v>43.385979383632687</c:v>
                </c:pt>
                <c:pt idx="24">
                  <c:v>43.289542100020284</c:v>
                </c:pt>
                <c:pt idx="25">
                  <c:v>43.087428151702881</c:v>
                </c:pt>
                <c:pt idx="26">
                  <c:v>42.790731396665066</c:v>
                </c:pt>
                <c:pt idx="27">
                  <c:v>42.408536184839612</c:v>
                </c:pt>
                <c:pt idx="28">
                  <c:v>41.948681461816065</c:v>
                </c:pt>
                <c:pt idx="29">
                  <c:v>41.418240651298802</c:v>
                </c:pt>
                <c:pt idx="30">
                  <c:v>40.823819106188651</c:v>
                </c:pt>
                <c:pt idx="31">
                  <c:v>40.171737841772647</c:v>
                </c:pt>
                <c:pt idx="32">
                  <c:v>39.46814717398167</c:v>
                </c:pt>
                <c:pt idx="33">
                  <c:v>38.71909723655402</c:v>
                </c:pt>
                <c:pt idx="34">
                  <c:v>37.93058189826543</c:v>
                </c:pt>
                <c:pt idx="35">
                  <c:v>37.108566191097559</c:v>
                </c:pt>
                <c:pt idx="36">
                  <c:v>36.259003459565683</c:v>
                </c:pt>
                <c:pt idx="37">
                  <c:v>35.387846066050528</c:v>
                </c:pt>
                <c:pt idx="38">
                  <c:v>34.501052031461732</c:v>
                </c:pt>
                <c:pt idx="39">
                  <c:v>33.604589088888915</c:v>
                </c:pt>
                <c:pt idx="40">
                  <c:v>31.806589088888941</c:v>
                </c:pt>
                <c:pt idx="41">
                  <c:v>30.917052031461754</c:v>
                </c:pt>
                <c:pt idx="42">
                  <c:v>30.041846066050553</c:v>
                </c:pt>
                <c:pt idx="43">
                  <c:v>29.187003459565712</c:v>
                </c:pt>
                <c:pt idx="44">
                  <c:v>28.358566191097587</c:v>
                </c:pt>
                <c:pt idx="45">
                  <c:v>27.56258189826546</c:v>
                </c:pt>
                <c:pt idx="46">
                  <c:v>26.805097236554055</c:v>
                </c:pt>
                <c:pt idx="47">
                  <c:v>26.092147173981701</c:v>
                </c:pt>
                <c:pt idx="48">
                  <c:v>25.429737841772678</c:v>
                </c:pt>
                <c:pt idx="49">
                  <c:v>24.823819106188679</c:v>
                </c:pt>
                <c:pt idx="50">
                  <c:v>24.280240651298836</c:v>
                </c:pt>
                <c:pt idx="51">
                  <c:v>23.804681461816084</c:v>
                </c:pt>
                <c:pt idx="52">
                  <c:v>23.402536184839626</c:v>
                </c:pt>
                <c:pt idx="53">
                  <c:v>23.078731396665088</c:v>
                </c:pt>
                <c:pt idx="54">
                  <c:v>22.837428151702898</c:v>
                </c:pt>
                <c:pt idx="55">
                  <c:v>22.681542100020295</c:v>
                </c:pt>
                <c:pt idx="56">
                  <c:v>22.611979383632679</c:v>
                </c:pt>
                <c:pt idx="57">
                  <c:v>22.626458391778684</c:v>
                </c:pt>
                <c:pt idx="58">
                  <c:v>22.717817664046141</c:v>
                </c:pt>
                <c:pt idx="59">
                  <c:v>22.871955978473085</c:v>
                </c:pt>
                <c:pt idx="60">
                  <c:v>23.066353700364218</c:v>
                </c:pt>
                <c:pt idx="61">
                  <c:v>23.271858356968668</c:v>
                </c:pt>
                <c:pt idx="62">
                  <c:v>23.462268979026078</c:v>
                </c:pt>
                <c:pt idx="63">
                  <c:v>23.633702415689605</c:v>
                </c:pt>
                <c:pt idx="64">
                  <c:v>23.823330573602139</c:v>
                </c:pt>
                <c:pt idx="65">
                  <c:v>24.10604309461193</c:v>
                </c:pt>
                <c:pt idx="66">
                  <c:v>24.564565241227069</c:v>
                </c:pt>
                <c:pt idx="67">
                  <c:v>25.259014890220012</c:v>
                </c:pt>
                <c:pt idx="68">
                  <c:v>26.218150675120835</c:v>
                </c:pt>
                <c:pt idx="69">
                  <c:v>27.447842369625622</c:v>
                </c:pt>
                <c:pt idx="70">
                  <c:v>28.942814964634241</c:v>
                </c:pt>
                <c:pt idx="71">
                  <c:v>30.694656915990326</c:v>
                </c:pt>
                <c:pt idx="72">
                  <c:v>32.695705112242884</c:v>
                </c:pt>
                <c:pt idx="73">
                  <c:v>34.940398927125528</c:v>
                </c:pt>
                <c:pt idx="74">
                  <c:v>37.425446960359501</c:v>
                </c:pt>
                <c:pt idx="75">
                  <c:v>40.149551731042784</c:v>
                </c:pt>
                <c:pt idx="76">
                  <c:v>43.113030001587418</c:v>
                </c:pt>
                <c:pt idx="77">
                  <c:v>46.317457999473923</c:v>
                </c:pt>
                <c:pt idx="78">
                  <c:v>49.765378981452692</c:v>
                </c:pt>
                <c:pt idx="79">
                  <c:v>53.460074900277988</c:v>
                </c:pt>
                <c:pt idx="80">
                  <c:v>57.405392487364892</c:v>
                </c:pt>
                <c:pt idx="81">
                  <c:v>61.60561213579286</c:v>
                </c:pt>
                <c:pt idx="82">
                  <c:v>66.065349287473921</c:v>
                </c:pt>
                <c:pt idx="83">
                  <c:v>70.78948011303342</c:v>
                </c:pt>
                <c:pt idx="84">
                  <c:v>75.783085238852891</c:v>
                </c:pt>
                <c:pt idx="85">
                  <c:v>81.051406876826604</c:v>
                </c:pt>
                <c:pt idx="86">
                  <c:v>86.599815937208248</c:v>
                </c:pt>
                <c:pt idx="87">
                  <c:v>92.43378661415916</c:v>
                </c:pt>
                <c:pt idx="88">
                  <c:v>98.558876598969633</c:v>
                </c:pt>
                <c:pt idx="89">
                  <c:v>104.98071156002152</c:v>
                </c:pt>
                <c:pt idx="90">
                  <c:v>111.70497288049324</c:v>
                </c:pt>
              </c:numCache>
            </c:numRef>
          </c:xVal>
          <c:yVal>
            <c:numRef>
              <c:f>軌道!$L$5:$L$95</c:f>
              <c:numCache>
                <c:formatCode>General</c:formatCode>
                <c:ptCount val="91"/>
                <c:pt idx="0">
                  <c:v>130.30682951691901</c:v>
                </c:pt>
                <c:pt idx="1">
                  <c:v>132.53757478959622</c:v>
                </c:pt>
                <c:pt idx="2">
                  <c:v>134.53891055993668</c:v>
                </c:pt>
                <c:pt idx="3">
                  <c:v>136.31718281574851</c:v>
                </c:pt>
                <c:pt idx="4">
                  <c:v>137.8786307115584</c:v>
                </c:pt>
                <c:pt idx="5">
                  <c:v>139.22926356170342</c:v>
                </c:pt>
                <c:pt idx="6">
                  <c:v>140.37464416853399</c:v>
                </c:pt>
                <c:pt idx="7">
                  <c:v>141.31951238503322</c:v>
                </c:pt>
                <c:pt idx="8">
                  <c:v>142.06714192039956</c:v>
                </c:pt>
                <c:pt idx="9">
                  <c:v>142.61827134498682</c:v>
                </c:pt>
                <c:pt idx="10">
                  <c:v>142.9694186733681</c:v>
                </c:pt>
                <c:pt idx="11">
                  <c:v>143.11049801211723</c:v>
                </c:pt>
                <c:pt idx="12">
                  <c:v>143.02222716621338</c:v>
                </c:pt>
                <c:pt idx="13">
                  <c:v>142.6753848736719</c:v>
                </c:pt>
                <c:pt idx="14">
                  <c:v>142.03647587017434</c:v>
                </c:pt>
                <c:pt idx="15">
                  <c:v>141.08439569481936</c:v>
                </c:pt>
                <c:pt idx="16">
                  <c:v>139.83303834221633</c:v>
                </c:pt>
                <c:pt idx="17">
                  <c:v>138.33929768739421</c:v>
                </c:pt>
                <c:pt idx="18">
                  <c:v>136.68212386741098</c:v>
                </c:pt>
                <c:pt idx="19">
                  <c:v>134.93004895093804</c:v>
                </c:pt>
                <c:pt idx="20">
                  <c:v>133.1242975334938</c:v>
                </c:pt>
                <c:pt idx="21">
                  <c:v>131.28141187898407</c:v>
                </c:pt>
                <c:pt idx="22">
                  <c:v>129.40334097134036</c:v>
                </c:pt>
                <c:pt idx="23">
                  <c:v>127.48597959604415</c:v>
                </c:pt>
                <c:pt idx="24">
                  <c:v>125.52403951662662</c:v>
                </c:pt>
                <c:pt idx="25">
                  <c:v>123.51319378951607</c:v>
                </c:pt>
                <c:pt idx="26">
                  <c:v>121.45075094364041</c:v>
                </c:pt>
                <c:pt idx="27">
                  <c:v>119.33567650745508</c:v>
                </c:pt>
                <c:pt idx="28">
                  <c:v>117.16837963049808</c:v>
                </c:pt>
                <c:pt idx="29">
                  <c:v>114.95044958832591</c:v>
                </c:pt>
                <c:pt idx="30">
                  <c:v>112.68441297103942</c:v>
                </c:pt>
                <c:pt idx="31">
                  <c:v>110.37353222771613</c:v>
                </c:pt>
                <c:pt idx="32">
                  <c:v>108.02164636084095</c:v>
                </c:pt>
                <c:pt idx="33">
                  <c:v>105.6330479306735</c:v>
                </c:pt>
                <c:pt idx="34">
                  <c:v>103.21238927114284</c:v>
                </c:pt>
                <c:pt idx="35">
                  <c:v>100.76461150199769</c:v>
                </c:pt>
                <c:pt idx="36">
                  <c:v>98.294891130689194</c:v>
                </c:pt>
                <c:pt idx="37">
                  <c:v>95.808600236287006</c:v>
                </c:pt>
                <c:pt idx="38">
                  <c:v>93.311277249220993</c:v>
                </c:pt>
                <c:pt idx="39">
                  <c:v>90.808606162301359</c:v>
                </c:pt>
                <c:pt idx="40">
                  <c:v>85.810606162301411</c:v>
                </c:pt>
                <c:pt idx="41">
                  <c:v>83.327277249221069</c:v>
                </c:pt>
                <c:pt idx="42">
                  <c:v>80.862600236287079</c:v>
                </c:pt>
                <c:pt idx="43">
                  <c:v>78.42289113068928</c:v>
                </c:pt>
                <c:pt idx="44">
                  <c:v>76.014611501997777</c:v>
                </c:pt>
                <c:pt idx="45">
                  <c:v>73.644389271142927</c:v>
                </c:pt>
                <c:pt idx="46">
                  <c:v>71.319047930673591</c:v>
                </c:pt>
                <c:pt idx="47">
                  <c:v>69.045646360841033</c:v>
                </c:pt>
                <c:pt idx="48">
                  <c:v>66.831532227716224</c:v>
                </c:pt>
                <c:pt idx="49">
                  <c:v>64.684412971039535</c:v>
                </c:pt>
                <c:pt idx="50">
                  <c:v>62.612449588326022</c:v>
                </c:pt>
                <c:pt idx="51">
                  <c:v>60.624379630498183</c:v>
                </c:pt>
                <c:pt idx="52">
                  <c:v>58.729676507455189</c:v>
                </c:pt>
                <c:pt idx="53">
                  <c:v>56.938750943640521</c:v>
                </c:pt>
                <c:pt idx="54">
                  <c:v>55.263193789516173</c:v>
                </c:pt>
                <c:pt idx="55">
                  <c:v>53.716039516626708</c:v>
                </c:pt>
                <c:pt idx="56">
                  <c:v>52.311979596044246</c:v>
                </c:pt>
                <c:pt idx="57">
                  <c:v>51.067340971340428</c:v>
                </c:pt>
                <c:pt idx="58">
                  <c:v>49.999411878984148</c:v>
                </c:pt>
                <c:pt idx="59">
                  <c:v>49.124297533493845</c:v>
                </c:pt>
                <c:pt idx="60">
                  <c:v>48.452048950938078</c:v>
                </c:pt>
                <c:pt idx="61">
                  <c:v>47.978123867411014</c:v>
                </c:pt>
                <c:pt idx="62">
                  <c:v>47.673297687394246</c:v>
                </c:pt>
                <c:pt idx="63">
                  <c:v>47.481038342216344</c:v>
                </c:pt>
                <c:pt idx="64">
                  <c:v>47.334395694819385</c:v>
                </c:pt>
                <c:pt idx="65">
                  <c:v>47.188475870174358</c:v>
                </c:pt>
                <c:pt idx="66">
                  <c:v>47.041384873671916</c:v>
                </c:pt>
                <c:pt idx="67">
                  <c:v>46.926227166213387</c:v>
                </c:pt>
                <c:pt idx="68">
                  <c:v>46.888498012117232</c:v>
                </c:pt>
                <c:pt idx="69">
                  <c:v>46.969418673368082</c:v>
                </c:pt>
                <c:pt idx="70">
                  <c:v>47.200271344986788</c:v>
                </c:pt>
                <c:pt idx="71">
                  <c:v>47.603141920399516</c:v>
                </c:pt>
                <c:pt idx="72">
                  <c:v>48.193512385033159</c:v>
                </c:pt>
                <c:pt idx="73">
                  <c:v>48.982644168533866</c:v>
                </c:pt>
                <c:pt idx="74">
                  <c:v>49.97926356170327</c:v>
                </c:pt>
                <c:pt idx="75">
                  <c:v>51.190630711558228</c:v>
                </c:pt>
                <c:pt idx="76">
                  <c:v>52.623182815748315</c:v>
                </c:pt>
                <c:pt idx="77">
                  <c:v>54.282910559936425</c:v>
                </c:pt>
                <c:pt idx="78">
                  <c:v>56.175574789595935</c:v>
                </c:pt>
                <c:pt idx="79">
                  <c:v>58.306829516918697</c:v>
                </c:pt>
                <c:pt idx="80">
                  <c:v>60.682290572097479</c:v>
                </c:pt>
                <c:pt idx="81">
                  <c:v>63.307572886673988</c:v>
                </c:pt>
                <c:pt idx="82">
                  <c:v>66.188309767346254</c:v>
                </c:pt>
                <c:pt idx="83">
                  <c:v>69.330161912099939</c:v>
                </c:pt>
                <c:pt idx="84">
                  <c:v>72.738820668232179</c:v>
                </c:pt>
                <c:pt idx="85">
                  <c:v>76.420008143202068</c:v>
                </c:pt>
                <c:pt idx="86">
                  <c:v>80.379475679088955</c:v>
                </c:pt>
                <c:pt idx="87">
                  <c:v>84.6230015584011</c:v>
                </c:pt>
                <c:pt idx="88">
                  <c:v>89.156388432210022</c:v>
                </c:pt>
                <c:pt idx="89">
                  <c:v>93.985460740769156</c:v>
                </c:pt>
                <c:pt idx="90">
                  <c:v>99.116062267761933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軌道!$N$4</c:f>
              <c:strCache>
                <c:ptCount val="1"/>
                <c:pt idx="0">
                  <c:v>y10m</c:v>
                </c:pt>
              </c:strCache>
            </c:strRef>
          </c:tx>
          <c:marker>
            <c:symbol val="none"/>
          </c:marker>
          <c:xVal>
            <c:numRef>
              <c:f>軌道!$M$5:$M$95</c:f>
              <c:numCache>
                <c:formatCode>General</c:formatCode>
                <c:ptCount val="91"/>
                <c:pt idx="0">
                  <c:v>2.53992509972147</c:v>
                </c:pt>
                <c:pt idx="1">
                  <c:v>6.2346210185468216</c:v>
                </c:pt>
                <c:pt idx="2">
                  <c:v>9.6825420005256344</c:v>
                </c:pt>
                <c:pt idx="3">
                  <c:v>12.88696999841218</c:v>
                </c:pt>
                <c:pt idx="4">
                  <c:v>15.850448268956843</c:v>
                </c:pt>
                <c:pt idx="5">
                  <c:v>18.574553039640179</c:v>
                </c:pt>
                <c:pt idx="6">
                  <c:v>21.059601072874184</c:v>
                </c:pt>
                <c:pt idx="7">
                  <c:v>23.304294887756864</c:v>
                </c:pt>
                <c:pt idx="8">
                  <c:v>25.305343084009458</c:v>
                </c:pt>
                <c:pt idx="9">
                  <c:v>27.057185035365585</c:v>
                </c:pt>
                <c:pt idx="10">
                  <c:v>28.552157630374232</c:v>
                </c:pt>
                <c:pt idx="11">
                  <c:v>29.78184932487904</c:v>
                </c:pt>
                <c:pt idx="12">
                  <c:v>30.740985109779906</c:v>
                </c:pt>
                <c:pt idx="13">
                  <c:v>31.435434758772878</c:v>
                </c:pt>
                <c:pt idx="14">
                  <c:v>31.893956905388038</c:v>
                </c:pt>
                <c:pt idx="15">
                  <c:v>32.176669426397844</c:v>
                </c:pt>
                <c:pt idx="16">
                  <c:v>32.366297584310374</c:v>
                </c:pt>
                <c:pt idx="17">
                  <c:v>32.537731020973915</c:v>
                </c:pt>
                <c:pt idx="18">
                  <c:v>32.728141643031314</c:v>
                </c:pt>
                <c:pt idx="19">
                  <c:v>32.933646299635768</c:v>
                </c:pt>
                <c:pt idx="20">
                  <c:v>33.128044021526904</c:v>
                </c:pt>
                <c:pt idx="21">
                  <c:v>33.282182335953856</c:v>
                </c:pt>
                <c:pt idx="22">
                  <c:v>33.373541608221309</c:v>
                </c:pt>
                <c:pt idx="23">
                  <c:v>33.388020616367314</c:v>
                </c:pt>
                <c:pt idx="24">
                  <c:v>33.31845789997972</c:v>
                </c:pt>
                <c:pt idx="25">
                  <c:v>33.162571848297119</c:v>
                </c:pt>
                <c:pt idx="26">
                  <c:v>32.921268603334923</c:v>
                </c:pt>
                <c:pt idx="27">
                  <c:v>32.597463815160388</c:v>
                </c:pt>
                <c:pt idx="28">
                  <c:v>32.195318538183926</c:v>
                </c:pt>
                <c:pt idx="29">
                  <c:v>31.719759348701171</c:v>
                </c:pt>
                <c:pt idx="30">
                  <c:v>31.176180893811335</c:v>
                </c:pt>
                <c:pt idx="31">
                  <c:v>30.57026215822733</c:v>
                </c:pt>
                <c:pt idx="32">
                  <c:v>29.907852826018306</c:v>
                </c:pt>
                <c:pt idx="33">
                  <c:v>29.194902763445953</c:v>
                </c:pt>
                <c:pt idx="34">
                  <c:v>28.43741810173454</c:v>
                </c:pt>
                <c:pt idx="35">
                  <c:v>27.641433808902413</c:v>
                </c:pt>
                <c:pt idx="36">
                  <c:v>26.812996540434284</c:v>
                </c:pt>
                <c:pt idx="37">
                  <c:v>25.95815393394944</c:v>
                </c:pt>
                <c:pt idx="38">
                  <c:v>25.082947968538232</c:v>
                </c:pt>
                <c:pt idx="39">
                  <c:v>24.193410911111041</c:v>
                </c:pt>
                <c:pt idx="40">
                  <c:v>22.395410911111064</c:v>
                </c:pt>
                <c:pt idx="41">
                  <c:v>21.498947968538257</c:v>
                </c:pt>
                <c:pt idx="42">
                  <c:v>20.612153933949465</c:v>
                </c:pt>
                <c:pt idx="43">
                  <c:v>19.740996540434313</c:v>
                </c:pt>
                <c:pt idx="44">
                  <c:v>18.891433808902441</c:v>
                </c:pt>
                <c:pt idx="45">
                  <c:v>18.069418101734573</c:v>
                </c:pt>
                <c:pt idx="46">
                  <c:v>17.280902763445987</c:v>
                </c:pt>
                <c:pt idx="47">
                  <c:v>16.531852826018337</c:v>
                </c:pt>
                <c:pt idx="48">
                  <c:v>15.828262158227359</c:v>
                </c:pt>
                <c:pt idx="49">
                  <c:v>15.176180893811361</c:v>
                </c:pt>
                <c:pt idx="50">
                  <c:v>14.581759348701201</c:v>
                </c:pt>
                <c:pt idx="51">
                  <c:v>14.051318538183953</c:v>
                </c:pt>
                <c:pt idx="52">
                  <c:v>13.591463815160409</c:v>
                </c:pt>
                <c:pt idx="53">
                  <c:v>13.209268603334944</c:v>
                </c:pt>
                <c:pt idx="54">
                  <c:v>12.91257184829713</c:v>
                </c:pt>
                <c:pt idx="55">
                  <c:v>12.710457899979724</c:v>
                </c:pt>
                <c:pt idx="56">
                  <c:v>12.614020616367318</c:v>
                </c:pt>
                <c:pt idx="57">
                  <c:v>12.637541608221303</c:v>
                </c:pt>
                <c:pt idx="58">
                  <c:v>12.800182335953838</c:v>
                </c:pt>
                <c:pt idx="59">
                  <c:v>13.128044021526872</c:v>
                </c:pt>
                <c:pt idx="60">
                  <c:v>13.655646299635722</c:v>
                </c:pt>
                <c:pt idx="61">
                  <c:v>14.424141643031245</c:v>
                </c:pt>
                <c:pt idx="62">
                  <c:v>15.47173102097382</c:v>
                </c:pt>
                <c:pt idx="63">
                  <c:v>16.814297584310253</c:v>
                </c:pt>
                <c:pt idx="64">
                  <c:v>18.426669426397684</c:v>
                </c:pt>
                <c:pt idx="65">
                  <c:v>20.24595690538786</c:v>
                </c:pt>
                <c:pt idx="66">
                  <c:v>22.201434758772688</c:v>
                </c:pt>
                <c:pt idx="67">
                  <c:v>24.244985109779694</c:v>
                </c:pt>
                <c:pt idx="68">
                  <c:v>26.359849324878827</c:v>
                </c:pt>
                <c:pt idx="69">
                  <c:v>28.552157630373994</c:v>
                </c:pt>
                <c:pt idx="70">
                  <c:v>30.839185035365329</c:v>
                </c:pt>
                <c:pt idx="71">
                  <c:v>33.241343084009188</c:v>
                </c:pt>
                <c:pt idx="72">
                  <c:v>35.778294887756552</c:v>
                </c:pt>
                <c:pt idx="73">
                  <c:v>38.467601072873833</c:v>
                </c:pt>
                <c:pt idx="74">
                  <c:v>41.324553039639817</c:v>
                </c:pt>
                <c:pt idx="75">
                  <c:v>44.362448268956449</c:v>
                </c:pt>
                <c:pt idx="76">
                  <c:v>47.592969998411746</c:v>
                </c:pt>
                <c:pt idx="77">
                  <c:v>51.026542000525161</c:v>
                </c:pt>
                <c:pt idx="78">
                  <c:v>54.672621018546302</c:v>
                </c:pt>
                <c:pt idx="79">
                  <c:v>58.539925099720904</c:v>
                </c:pt>
                <c:pt idx="80">
                  <c:v>62.636607512633901</c:v>
                </c:pt>
                <c:pt idx="81">
                  <c:v>66.970387864205833</c:v>
                </c:pt>
                <c:pt idx="82">
                  <c:v>71.548650712524662</c:v>
                </c:pt>
                <c:pt idx="83">
                  <c:v>76.378519886965051</c:v>
                </c:pt>
                <c:pt idx="84">
                  <c:v>81.46691476114546</c:v>
                </c:pt>
                <c:pt idx="85">
                  <c:v>86.820593123171648</c:v>
                </c:pt>
                <c:pt idx="86">
                  <c:v>92.446184062789868</c:v>
                </c:pt>
                <c:pt idx="87">
                  <c:v>98.350213385838785</c:v>
                </c:pt>
                <c:pt idx="88">
                  <c:v>104.53912340102816</c:v>
                </c:pt>
                <c:pt idx="89">
                  <c:v>111.01928843997612</c:v>
                </c:pt>
                <c:pt idx="90">
                  <c:v>117.79702711950426</c:v>
                </c:pt>
              </c:numCache>
            </c:numRef>
          </c:xVal>
          <c:yVal>
            <c:numRef>
              <c:f>軌道!$N$5:$N$95</c:f>
              <c:numCache>
                <c:formatCode>General</c:formatCode>
                <c:ptCount val="91"/>
                <c:pt idx="0">
                  <c:v>121.69317048308099</c:v>
                </c:pt>
                <c:pt idx="1">
                  <c:v>123.8244252104038</c:v>
                </c:pt>
                <c:pt idx="2">
                  <c:v>125.71708944006335</c:v>
                </c:pt>
                <c:pt idx="3">
                  <c:v>127.37681718425146</c:v>
                </c:pt>
                <c:pt idx="4">
                  <c:v>128.80936928844159</c:v>
                </c:pt>
                <c:pt idx="5">
                  <c:v>130.02073643829658</c:v>
                </c:pt>
                <c:pt idx="6">
                  <c:v>131.01735583146601</c:v>
                </c:pt>
                <c:pt idx="7">
                  <c:v>131.80648761496676</c:v>
                </c:pt>
                <c:pt idx="8">
                  <c:v>132.39685807960043</c:v>
                </c:pt>
                <c:pt idx="9">
                  <c:v>132.79972865501318</c:v>
                </c:pt>
                <c:pt idx="10">
                  <c:v>133.0305813266319</c:v>
                </c:pt>
                <c:pt idx="11">
                  <c:v>133.11150198788275</c:v>
                </c:pt>
                <c:pt idx="12">
                  <c:v>133.07377283378662</c:v>
                </c:pt>
                <c:pt idx="13">
                  <c:v>132.95861512632811</c:v>
                </c:pt>
                <c:pt idx="14">
                  <c:v>132.81152412982561</c:v>
                </c:pt>
                <c:pt idx="15">
                  <c:v>132.66560430518064</c:v>
                </c:pt>
                <c:pt idx="16">
                  <c:v>132.51896165778365</c:v>
                </c:pt>
                <c:pt idx="17">
                  <c:v>132.32670231260579</c:v>
                </c:pt>
                <c:pt idx="18">
                  <c:v>132.02187613258903</c:v>
                </c:pt>
                <c:pt idx="19">
                  <c:v>131.54795104906196</c:v>
                </c:pt>
                <c:pt idx="20">
                  <c:v>130.8757024665062</c:v>
                </c:pt>
                <c:pt idx="21">
                  <c:v>130.00058812101591</c:v>
                </c:pt>
                <c:pt idx="22">
                  <c:v>128.93265902865966</c:v>
                </c:pt>
                <c:pt idx="23">
                  <c:v>127.68802040395583</c:v>
                </c:pt>
                <c:pt idx="24">
                  <c:v>126.28396048337335</c:v>
                </c:pt>
                <c:pt idx="25">
                  <c:v>124.73680621048391</c:v>
                </c:pt>
                <c:pt idx="26">
                  <c:v>123.06124905635956</c:v>
                </c:pt>
                <c:pt idx="27">
                  <c:v>121.27032349254486</c:v>
                </c:pt>
                <c:pt idx="28">
                  <c:v>119.37562036950187</c:v>
                </c:pt>
                <c:pt idx="29">
                  <c:v>117.38755041167403</c:v>
                </c:pt>
                <c:pt idx="30">
                  <c:v>115.31558702896052</c:v>
                </c:pt>
                <c:pt idx="31">
                  <c:v>113.16846777228382</c:v>
                </c:pt>
                <c:pt idx="32">
                  <c:v>110.954353639159</c:v>
                </c:pt>
                <c:pt idx="33">
                  <c:v>108.68095206932644</c:v>
                </c:pt>
                <c:pt idx="34">
                  <c:v>106.35561072885709</c:v>
                </c:pt>
                <c:pt idx="35">
                  <c:v>103.98538849800222</c:v>
                </c:pt>
                <c:pt idx="36">
                  <c:v>101.57710886931071</c:v>
                </c:pt>
                <c:pt idx="37">
                  <c:v>99.137399763712907</c:v>
                </c:pt>
                <c:pt idx="38">
                  <c:v>96.672722750778902</c:v>
                </c:pt>
                <c:pt idx="39">
                  <c:v>94.189393837698546</c:v>
                </c:pt>
                <c:pt idx="40">
                  <c:v>89.191393837698598</c:v>
                </c:pt>
                <c:pt idx="41">
                  <c:v>86.688722750778979</c:v>
                </c:pt>
                <c:pt idx="42">
                  <c:v>84.19139976371298</c:v>
                </c:pt>
                <c:pt idx="43">
                  <c:v>81.705108869310791</c:v>
                </c:pt>
                <c:pt idx="44">
                  <c:v>79.235388498002308</c:v>
                </c:pt>
                <c:pt idx="45">
                  <c:v>76.787610728857175</c:v>
                </c:pt>
                <c:pt idx="46">
                  <c:v>74.36695206932653</c:v>
                </c:pt>
                <c:pt idx="47">
                  <c:v>71.978353639159081</c:v>
                </c:pt>
                <c:pt idx="48">
                  <c:v>69.626467772283917</c:v>
                </c:pt>
                <c:pt idx="49">
                  <c:v>67.315587028960636</c:v>
                </c:pt>
                <c:pt idx="50">
                  <c:v>65.049550411674147</c:v>
                </c:pt>
                <c:pt idx="51">
                  <c:v>62.831620369501991</c:v>
                </c:pt>
                <c:pt idx="52">
                  <c:v>60.664323492544987</c:v>
                </c:pt>
                <c:pt idx="53">
                  <c:v>58.549249056359677</c:v>
                </c:pt>
                <c:pt idx="54">
                  <c:v>56.486806210484026</c:v>
                </c:pt>
                <c:pt idx="55">
                  <c:v>54.475960483373484</c:v>
                </c:pt>
                <c:pt idx="56">
                  <c:v>52.514020403955946</c:v>
                </c:pt>
                <c:pt idx="57">
                  <c:v>50.596659028659758</c:v>
                </c:pt>
                <c:pt idx="58">
                  <c:v>48.71858812101604</c:v>
                </c:pt>
                <c:pt idx="59">
                  <c:v>46.87570246650634</c:v>
                </c:pt>
                <c:pt idx="60">
                  <c:v>45.069951049062098</c:v>
                </c:pt>
                <c:pt idx="61">
                  <c:v>43.317876132589149</c:v>
                </c:pt>
                <c:pt idx="62">
                  <c:v>41.660702312605913</c:v>
                </c:pt>
                <c:pt idx="63">
                  <c:v>40.166961657783794</c:v>
                </c:pt>
                <c:pt idx="64">
                  <c:v>38.915604305180729</c:v>
                </c:pt>
                <c:pt idx="65">
                  <c:v>37.963524129825714</c:v>
                </c:pt>
                <c:pt idx="66">
                  <c:v>37.324615126328155</c:v>
                </c:pt>
                <c:pt idx="67">
                  <c:v>36.977772833786652</c:v>
                </c:pt>
                <c:pt idx="68">
                  <c:v>36.88950198788276</c:v>
                </c:pt>
                <c:pt idx="69">
                  <c:v>37.030581326631889</c:v>
                </c:pt>
                <c:pt idx="70">
                  <c:v>37.38172865501312</c:v>
                </c:pt>
                <c:pt idx="71">
                  <c:v>37.932858079600358</c:v>
                </c:pt>
                <c:pt idx="72">
                  <c:v>38.680487614966665</c:v>
                </c:pt>
                <c:pt idx="73">
                  <c:v>39.625355831465882</c:v>
                </c:pt>
                <c:pt idx="74">
                  <c:v>40.770736438296446</c:v>
                </c:pt>
                <c:pt idx="75">
                  <c:v>42.1213692884414</c:v>
                </c:pt>
                <c:pt idx="76">
                  <c:v>43.68281718425127</c:v>
                </c:pt>
                <c:pt idx="77">
                  <c:v>45.461089440063091</c:v>
                </c:pt>
                <c:pt idx="78">
                  <c:v>47.462425210403488</c:v>
                </c:pt>
                <c:pt idx="79">
                  <c:v>49.69317048308065</c:v>
                </c:pt>
                <c:pt idx="80">
                  <c:v>52.159709427901795</c:v>
                </c:pt>
                <c:pt idx="81">
                  <c:v>54.868427113325176</c:v>
                </c:pt>
                <c:pt idx="82">
                  <c:v>57.825690232652811</c:v>
                </c:pt>
                <c:pt idx="83">
                  <c:v>61.037838087899026</c:v>
                </c:pt>
                <c:pt idx="84">
                  <c:v>64.511179331766684</c:v>
                </c:pt>
                <c:pt idx="85">
                  <c:v>68.251991856796707</c:v>
                </c:pt>
                <c:pt idx="86">
                  <c:v>72.266524320909667</c:v>
                </c:pt>
                <c:pt idx="87">
                  <c:v>76.560998441597391</c:v>
                </c:pt>
                <c:pt idx="88">
                  <c:v>81.14161156778836</c:v>
                </c:pt>
                <c:pt idx="89">
                  <c:v>86.014539259229053</c:v>
                </c:pt>
                <c:pt idx="90">
                  <c:v>91.185937732236155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213824"/>
        <c:axId val="117216000"/>
      </c:scatterChart>
      <c:valAx>
        <c:axId val="117213824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7216000"/>
        <c:crosses val="autoZero"/>
        <c:crossBetween val="midCat"/>
      </c:valAx>
      <c:valAx>
        <c:axId val="117216000"/>
        <c:scaling>
          <c:orientation val="minMax"/>
          <c:max val="160"/>
          <c:min val="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21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エクセル練習!$E$4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エクセル練習!$D$5:$D$14</c:f>
              <c:numCache>
                <c:formatCode>General</c:formatCode>
                <c:ptCount val="10"/>
                <c:pt idx="0">
                  <c:v>0.70710678118654746</c:v>
                </c:pt>
                <c:pt idx="1">
                  <c:v>-1.2247448713915885</c:v>
                </c:pt>
                <c:pt idx="2">
                  <c:v>-0.44828773608402783</c:v>
                </c:pt>
                <c:pt idx="3">
                  <c:v>3.0872461698487115</c:v>
                </c:pt>
                <c:pt idx="4">
                  <c:v>-4.6401604404638297</c:v>
                </c:pt>
                <c:pt idx="5">
                  <c:v>-1.2755128541310761</c:v>
                </c:pt>
                <c:pt idx="6">
                  <c:v>13.573729550786435</c:v>
                </c:pt>
                <c:pt idx="7">
                  <c:v>-19.267748543041851</c:v>
                </c:pt>
                <c:pt idx="8">
                  <c:v>-5.0327010624033193</c:v>
                </c:pt>
                <c:pt idx="9">
                  <c:v>57.899802463199507</c:v>
                </c:pt>
              </c:numCache>
            </c:numRef>
          </c:xVal>
          <c:yVal>
            <c:numRef>
              <c:f>エクセル練習!$E$5:$E$14</c:f>
              <c:numCache>
                <c:formatCode>General</c:formatCode>
                <c:ptCount val="10"/>
                <c:pt idx="0">
                  <c:v>0.70710678118654746</c:v>
                </c:pt>
                <c:pt idx="1">
                  <c:v>1.2247448713915894</c:v>
                </c:pt>
                <c:pt idx="2">
                  <c:v>-1.6730326074756148</c:v>
                </c:pt>
                <c:pt idx="3">
                  <c:v>1.8625012984571194</c:v>
                </c:pt>
                <c:pt idx="4">
                  <c:v>3.933053659277292</c:v>
                </c:pt>
                <c:pt idx="5">
                  <c:v>-8.6239820824805928</c:v>
                </c:pt>
                <c:pt idx="6">
                  <c:v>6.2252603224368759</c:v>
                </c:pt>
                <c:pt idx="7">
                  <c:v>15.025107855922633</c:v>
                </c:pt>
                <c:pt idx="8">
                  <c:v>-38.100812589976115</c:v>
                </c:pt>
                <c:pt idx="9">
                  <c:v>24.831690935626433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97632"/>
        <c:axId val="117800960"/>
      </c:scatterChart>
      <c:valAx>
        <c:axId val="117797632"/>
        <c:scaling>
          <c:orientation val="minMax"/>
          <c:max val="40"/>
          <c:min val="-40"/>
        </c:scaling>
        <c:delete val="0"/>
        <c:axPos val="b"/>
        <c:numFmt formatCode="General" sourceLinked="1"/>
        <c:majorTickMark val="out"/>
        <c:minorTickMark val="none"/>
        <c:tickLblPos val="nextTo"/>
        <c:crossAx val="117800960"/>
        <c:crosses val="autoZero"/>
        <c:crossBetween val="midCat"/>
      </c:valAx>
      <c:valAx>
        <c:axId val="117800960"/>
        <c:scaling>
          <c:orientation val="minMax"/>
          <c:max val="30"/>
          <c:min val="-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797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10</xdr:col>
      <xdr:colOff>457200</xdr:colOff>
      <xdr:row>19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</xdr:row>
      <xdr:rowOff>0</xdr:rowOff>
    </xdr:from>
    <xdr:to>
      <xdr:col>17</xdr:col>
      <xdr:colOff>457200</xdr:colOff>
      <xdr:row>19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8</xdr:col>
      <xdr:colOff>457200</xdr:colOff>
      <xdr:row>27</xdr:row>
      <xdr:rowOff>0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28</xdr:row>
      <xdr:rowOff>0</xdr:rowOff>
    </xdr:from>
    <xdr:to>
      <xdr:col>8</xdr:col>
      <xdr:colOff>457200</xdr:colOff>
      <xdr:row>44</xdr:row>
      <xdr:rowOff>0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33337</xdr:colOff>
      <xdr:row>11</xdr:row>
      <xdr:rowOff>33337</xdr:rowOff>
    </xdr:from>
    <xdr:to>
      <xdr:col>15</xdr:col>
      <xdr:colOff>490537</xdr:colOff>
      <xdr:row>27</xdr:row>
      <xdr:rowOff>33337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15</xdr:col>
      <xdr:colOff>457200</xdr:colOff>
      <xdr:row>44</xdr:row>
      <xdr:rowOff>0</xdr:rowOff>
    </xdr:to>
    <xdr:graphicFrame macro="">
      <xdr:nvGraphicFramePr>
        <xdr:cNvPr id="16" name="グラフ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16</xdr:col>
      <xdr:colOff>457200</xdr:colOff>
      <xdr:row>18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tabSelected="1" workbookViewId="0"/>
  </sheetViews>
  <sheetFormatPr defaultRowHeight="13.5" x14ac:dyDescent="0.15"/>
  <sheetData>
    <row r="1" spans="1:6" x14ac:dyDescent="0.15">
      <c r="A1" s="1" t="s">
        <v>26</v>
      </c>
      <c r="B1" s="1">
        <v>20</v>
      </c>
      <c r="C1" s="1" t="s">
        <v>27</v>
      </c>
      <c r="D1" s="1">
        <v>5</v>
      </c>
      <c r="E1" s="1" t="s">
        <v>28</v>
      </c>
      <c r="F1" s="1">
        <v>9.8000000000000007</v>
      </c>
    </row>
    <row r="2" spans="1:6" x14ac:dyDescent="0.15">
      <c r="A2" s="1" t="s">
        <v>29</v>
      </c>
      <c r="B2" s="1">
        <v>55</v>
      </c>
      <c r="C2" s="1" t="s">
        <v>30</v>
      </c>
      <c r="D2" s="1">
        <v>1</v>
      </c>
      <c r="E2" s="1"/>
      <c r="F2" s="1"/>
    </row>
    <row r="3" spans="1:6" x14ac:dyDescent="0.15">
      <c r="A3" s="1"/>
      <c r="B3" s="1"/>
      <c r="C3" s="1"/>
      <c r="D3" s="1"/>
      <c r="E3" s="1"/>
      <c r="F3" s="1"/>
    </row>
    <row r="4" spans="1:6" x14ac:dyDescent="0.15">
      <c r="A4" s="1" t="s">
        <v>31</v>
      </c>
      <c r="B4" s="1" t="s">
        <v>32</v>
      </c>
      <c r="C4" s="1" t="s">
        <v>33</v>
      </c>
      <c r="D4" s="1"/>
      <c r="E4" s="1"/>
      <c r="F4" s="1"/>
    </row>
    <row r="5" spans="1:6" x14ac:dyDescent="0.15">
      <c r="A5" s="1">
        <v>0</v>
      </c>
      <c r="B5" s="1">
        <f>$B$1*A5*COS(RADIANS(($B$2)))</f>
        <v>0</v>
      </c>
      <c r="C5" s="1">
        <f>$B$1*A5*SIN(RADIANS($B$2))-$F$1*A5^2/2</f>
        <v>0</v>
      </c>
      <c r="D5" s="1"/>
      <c r="E5" s="1"/>
      <c r="F5" s="1"/>
    </row>
    <row r="6" spans="1:6" x14ac:dyDescent="0.15">
      <c r="A6" s="1">
        <f>A5+$D$2</f>
        <v>1</v>
      </c>
      <c r="B6" s="1">
        <f t="shared" ref="B6:B25" si="0">$B$1*A6*COS(RADIANS(($B$2)))</f>
        <v>11.471528727020923</v>
      </c>
      <c r="C6" s="1">
        <f t="shared" ref="C6:C25" si="1">$B$1*A6*SIN(RADIANS($B$2))-$F$1*A6^2/2</f>
        <v>11.483040885779834</v>
      </c>
      <c r="D6" s="1"/>
      <c r="E6" s="1"/>
      <c r="F6" s="1"/>
    </row>
    <row r="7" spans="1:6" x14ac:dyDescent="0.15">
      <c r="A7" s="1">
        <f t="shared" ref="A7:A25" si="2">A6+$D$2</f>
        <v>2</v>
      </c>
      <c r="B7" s="1">
        <f t="shared" si="0"/>
        <v>22.943057454041845</v>
      </c>
      <c r="C7" s="1">
        <f t="shared" si="1"/>
        <v>13.166081771559668</v>
      </c>
      <c r="D7" s="1"/>
      <c r="E7" s="1"/>
      <c r="F7" s="1"/>
    </row>
    <row r="8" spans="1:6" x14ac:dyDescent="0.15">
      <c r="A8" s="1">
        <f t="shared" si="2"/>
        <v>3</v>
      </c>
      <c r="B8" s="1">
        <f t="shared" si="0"/>
        <v>34.414586181062766</v>
      </c>
      <c r="C8" s="1">
        <f t="shared" si="1"/>
        <v>5.0491226573395096</v>
      </c>
      <c r="D8" s="1"/>
      <c r="E8" s="1"/>
      <c r="F8" s="1"/>
    </row>
    <row r="9" spans="1:6" x14ac:dyDescent="0.15">
      <c r="A9" s="1">
        <f t="shared" si="2"/>
        <v>4</v>
      </c>
      <c r="B9" s="1">
        <f t="shared" si="0"/>
        <v>45.886114908083691</v>
      </c>
      <c r="C9" s="1">
        <f t="shared" si="1"/>
        <v>-12.867836456880667</v>
      </c>
      <c r="D9" s="1"/>
      <c r="E9" s="1"/>
      <c r="F9" s="1"/>
    </row>
    <row r="10" spans="1:6" x14ac:dyDescent="0.15">
      <c r="A10" s="1">
        <f t="shared" si="2"/>
        <v>5</v>
      </c>
      <c r="B10" s="1">
        <f t="shared" si="0"/>
        <v>57.357643635104615</v>
      </c>
      <c r="C10" s="1">
        <f t="shared" si="1"/>
        <v>-40.584795571100841</v>
      </c>
      <c r="D10" s="1"/>
      <c r="E10" s="1"/>
      <c r="F10" s="1"/>
    </row>
    <row r="11" spans="1:6" x14ac:dyDescent="0.15">
      <c r="A11" s="1">
        <f t="shared" si="2"/>
        <v>6</v>
      </c>
      <c r="B11" s="1">
        <f t="shared" si="0"/>
        <v>68.829172362125533</v>
      </c>
      <c r="C11" s="1">
        <f t="shared" si="1"/>
        <v>-78.101754685320984</v>
      </c>
      <c r="D11" s="1"/>
      <c r="E11" s="1"/>
      <c r="F11" s="1"/>
    </row>
    <row r="12" spans="1:6" x14ac:dyDescent="0.15">
      <c r="A12" s="1">
        <f t="shared" si="2"/>
        <v>7</v>
      </c>
      <c r="B12" s="1">
        <f t="shared" si="0"/>
        <v>80.300701089146457</v>
      </c>
      <c r="C12" s="1">
        <f t="shared" si="1"/>
        <v>-125.41871379954117</v>
      </c>
      <c r="D12" s="1"/>
      <c r="E12" s="1"/>
      <c r="F12" s="1"/>
    </row>
    <row r="13" spans="1:6" x14ac:dyDescent="0.15">
      <c r="A13" s="1">
        <f t="shared" si="2"/>
        <v>8</v>
      </c>
      <c r="B13" s="1">
        <f t="shared" si="0"/>
        <v>91.772229816167382</v>
      </c>
      <c r="C13" s="1">
        <f t="shared" si="1"/>
        <v>-182.53567291376135</v>
      </c>
      <c r="D13" s="1"/>
      <c r="E13" s="1"/>
      <c r="F13" s="1"/>
    </row>
    <row r="14" spans="1:6" x14ac:dyDescent="0.15">
      <c r="A14" s="1">
        <f t="shared" si="2"/>
        <v>9</v>
      </c>
      <c r="B14" s="1">
        <f t="shared" si="0"/>
        <v>103.24375854318831</v>
      </c>
      <c r="C14" s="1">
        <f t="shared" si="1"/>
        <v>-249.45263202798151</v>
      </c>
      <c r="D14" s="1"/>
      <c r="E14" s="1"/>
      <c r="F14" s="1"/>
    </row>
    <row r="15" spans="1:6" x14ac:dyDescent="0.15">
      <c r="A15" s="1">
        <f t="shared" si="2"/>
        <v>10</v>
      </c>
      <c r="B15" s="1">
        <f t="shared" si="0"/>
        <v>114.71528727020923</v>
      </c>
      <c r="C15" s="1">
        <f t="shared" si="1"/>
        <v>-326.16959114220174</v>
      </c>
      <c r="D15" s="1"/>
      <c r="E15" s="1"/>
      <c r="F15" s="1"/>
    </row>
    <row r="16" spans="1:6" x14ac:dyDescent="0.15">
      <c r="A16" s="1">
        <f t="shared" si="2"/>
        <v>11</v>
      </c>
      <c r="B16" s="1">
        <f t="shared" si="0"/>
        <v>126.18681599723016</v>
      </c>
      <c r="C16" s="1">
        <f t="shared" si="1"/>
        <v>-412.68655025642192</v>
      </c>
      <c r="D16" s="1"/>
      <c r="E16" s="1"/>
      <c r="F16" s="1"/>
    </row>
    <row r="17" spans="1:7" x14ac:dyDescent="0.15">
      <c r="A17" s="1">
        <f t="shared" si="2"/>
        <v>12</v>
      </c>
      <c r="B17" s="1">
        <f t="shared" si="0"/>
        <v>137.65834472425107</v>
      </c>
      <c r="C17" s="1">
        <f t="shared" si="1"/>
        <v>-509.00350937064195</v>
      </c>
      <c r="D17" s="1"/>
      <c r="E17" s="1"/>
      <c r="F17" s="1"/>
    </row>
    <row r="18" spans="1:7" x14ac:dyDescent="0.15">
      <c r="A18" s="1">
        <f t="shared" si="2"/>
        <v>13</v>
      </c>
      <c r="B18" s="1">
        <f t="shared" si="0"/>
        <v>149.129873451272</v>
      </c>
      <c r="C18" s="1">
        <f t="shared" si="1"/>
        <v>-615.12046848486216</v>
      </c>
      <c r="D18" s="1"/>
      <c r="E18" s="1"/>
      <c r="F18" s="1"/>
    </row>
    <row r="19" spans="1:7" x14ac:dyDescent="0.15">
      <c r="A19" s="1">
        <f t="shared" si="2"/>
        <v>14</v>
      </c>
      <c r="B19" s="1">
        <f t="shared" si="0"/>
        <v>160.60140217829291</v>
      </c>
      <c r="C19" s="1">
        <f t="shared" si="1"/>
        <v>-731.03742759908232</v>
      </c>
      <c r="D19" s="1"/>
      <c r="E19" s="1"/>
      <c r="F19" s="1"/>
    </row>
    <row r="20" spans="1:7" x14ac:dyDescent="0.15">
      <c r="A20" s="1">
        <f t="shared" si="2"/>
        <v>15</v>
      </c>
      <c r="B20" s="1">
        <f t="shared" si="0"/>
        <v>172.07293090531385</v>
      </c>
      <c r="C20" s="1">
        <f t="shared" si="1"/>
        <v>-856.75438671330244</v>
      </c>
      <c r="D20" s="1"/>
      <c r="E20" s="1"/>
      <c r="F20" s="1"/>
    </row>
    <row r="21" spans="1:7" x14ac:dyDescent="0.15">
      <c r="A21" s="1">
        <f t="shared" si="2"/>
        <v>16</v>
      </c>
      <c r="B21" s="1">
        <f t="shared" si="0"/>
        <v>183.54445963233476</v>
      </c>
      <c r="C21" s="1">
        <f t="shared" si="1"/>
        <v>-992.27134582752274</v>
      </c>
      <c r="D21" s="1"/>
      <c r="E21" t="s">
        <v>34</v>
      </c>
      <c r="F21" s="1"/>
    </row>
    <row r="22" spans="1:7" x14ac:dyDescent="0.15">
      <c r="A22" s="1">
        <f t="shared" si="2"/>
        <v>17</v>
      </c>
      <c r="B22" s="1">
        <f t="shared" si="0"/>
        <v>195.0159883593557</v>
      </c>
      <c r="C22" s="1">
        <f t="shared" si="1"/>
        <v>-1137.588304941743</v>
      </c>
      <c r="D22" s="1"/>
      <c r="E22" t="s">
        <v>38</v>
      </c>
      <c r="F22" s="1"/>
    </row>
    <row r="23" spans="1:7" x14ac:dyDescent="0.15">
      <c r="A23" s="1">
        <f t="shared" si="2"/>
        <v>18</v>
      </c>
      <c r="B23" s="1">
        <f t="shared" si="0"/>
        <v>206.48751708637661</v>
      </c>
      <c r="C23" s="1">
        <f t="shared" si="1"/>
        <v>-1292.7052640559632</v>
      </c>
      <c r="D23" s="1"/>
      <c r="F23" s="1"/>
    </row>
    <row r="24" spans="1:7" x14ac:dyDescent="0.15">
      <c r="A24" s="1">
        <f t="shared" si="2"/>
        <v>19</v>
      </c>
      <c r="B24" s="1">
        <f t="shared" si="0"/>
        <v>217.95904581339755</v>
      </c>
      <c r="C24" s="1">
        <f t="shared" si="1"/>
        <v>-1457.6222231701831</v>
      </c>
      <c r="D24" s="1"/>
      <c r="E24" t="s">
        <v>35</v>
      </c>
      <c r="F24" s="1"/>
      <c r="G24" t="s">
        <v>37</v>
      </c>
    </row>
    <row r="25" spans="1:7" ht="15.75" x14ac:dyDescent="0.15">
      <c r="A25" s="1">
        <f t="shared" si="2"/>
        <v>20</v>
      </c>
      <c r="B25" s="1">
        <f t="shared" si="0"/>
        <v>229.43057454041846</v>
      </c>
      <c r="C25" s="1">
        <f t="shared" si="1"/>
        <v>-1632.3391822844035</v>
      </c>
      <c r="D25" s="1"/>
      <c r="E25" t="s">
        <v>36</v>
      </c>
      <c r="F25" s="1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5"/>
  <sheetViews>
    <sheetView workbookViewId="0"/>
  </sheetViews>
  <sheetFormatPr defaultRowHeight="13.5" x14ac:dyDescent="0.15"/>
  <sheetData>
    <row r="1" spans="1:14" x14ac:dyDescent="0.15">
      <c r="A1" t="s">
        <v>11</v>
      </c>
      <c r="B1">
        <v>0</v>
      </c>
      <c r="C1">
        <v>0.1</v>
      </c>
    </row>
    <row r="2" spans="1:14" x14ac:dyDescent="0.15">
      <c r="A2" t="s">
        <v>12</v>
      </c>
      <c r="B2">
        <v>4</v>
      </c>
      <c r="C2">
        <v>3</v>
      </c>
      <c r="K2">
        <v>5</v>
      </c>
    </row>
    <row r="3" spans="1:14" x14ac:dyDescent="0.15">
      <c r="A3" t="s">
        <v>13</v>
      </c>
      <c r="B3">
        <v>4</v>
      </c>
      <c r="C3">
        <v>5</v>
      </c>
    </row>
    <row r="4" spans="1:14" x14ac:dyDescent="0.15">
      <c r="A4" t="s">
        <v>14</v>
      </c>
      <c r="B4" t="s">
        <v>12</v>
      </c>
      <c r="C4" t="s">
        <v>13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</row>
    <row r="5" spans="1:14" x14ac:dyDescent="0.15">
      <c r="A5">
        <f>B1</f>
        <v>0</v>
      </c>
      <c r="B5">
        <f>(A5-$B$2)^3-$C$2^2*(A5-$B$2)+28</f>
        <v>0</v>
      </c>
      <c r="C5">
        <f>((A5-$B$3)^3-$C$3^2*(A5-$B$3))+90</f>
        <v>126</v>
      </c>
      <c r="D5">
        <f>3*(A5-$B$2)^2-$C$2^2</f>
        <v>39</v>
      </c>
      <c r="E5">
        <f>3*(A5-$B$3)^2-$C$3^2</f>
        <v>23</v>
      </c>
      <c r="F5">
        <f>SQRT(D5^2+E5^2)</f>
        <v>45.276925690687087</v>
      </c>
      <c r="G5">
        <f>D5/F5</f>
        <v>0.86136590338380303</v>
      </c>
      <c r="H5">
        <f>E5/F5</f>
        <v>0.50798501994429401</v>
      </c>
      <c r="I5">
        <f t="array" ref="I5:J5">TRANSPOSE(MMULT({0,-1;1,0},TRANSPOSE(G5:H5)))</f>
        <v>-0.50798501994429401</v>
      </c>
      <c r="J5">
        <v>0.86136590338380303</v>
      </c>
      <c r="K5">
        <f>B5+I5*$K$2</f>
        <v>-2.53992509972147</v>
      </c>
      <c r="L5">
        <f>C5+J5*$K$2</f>
        <v>130.30682951691901</v>
      </c>
      <c r="M5">
        <f>B5-I5*$K$2</f>
        <v>2.53992509972147</v>
      </c>
      <c r="N5">
        <f>C5-J5*$K$2</f>
        <v>121.69317048308099</v>
      </c>
    </row>
    <row r="6" spans="1:14" x14ac:dyDescent="0.15">
      <c r="A6">
        <f t="shared" ref="A6:A44" si="0">A5+$C$1</f>
        <v>0.1</v>
      </c>
      <c r="B6">
        <f>(A6-$B$2)^3-$C$2^2*(A6-$B$2)+28</f>
        <v>3.7810000000000059</v>
      </c>
      <c r="C6">
        <f t="shared" ref="C6:C69" si="1">((A6-$B$3)^3-$C$3^2*(A6-$B$3))+90</f>
        <v>128.18100000000001</v>
      </c>
      <c r="D6">
        <f t="shared" ref="D6:D69" si="2">3*(A6-$B$2)^2-$C$2^2</f>
        <v>36.629999999999995</v>
      </c>
      <c r="E6">
        <f t="shared" ref="E6:E69" si="3">3*(A6-$B$3)^2-$C$3^2</f>
        <v>20.629999999999995</v>
      </c>
      <c r="F6">
        <f t="shared" ref="F6:F69" si="4">SQRT(D6^2+E6^2)</f>
        <v>42.039907231106014</v>
      </c>
      <c r="G6">
        <f t="shared" ref="G6:G69" si="5">D6/F6</f>
        <v>0.87131495791924252</v>
      </c>
      <c r="H6">
        <f t="shared" ref="H6:H69" si="6">E6/F6</f>
        <v>0.49072420370936315</v>
      </c>
      <c r="I6">
        <f t="array" ref="I6:J6">TRANSPOSE(MMULT({0,-1;1,0},TRANSPOSE(G6:H6)))</f>
        <v>-0.49072420370936315</v>
      </c>
      <c r="J6">
        <v>0.87131495791924252</v>
      </c>
      <c r="K6">
        <f t="shared" ref="K6:L69" si="7">B6+I6*$K$2</f>
        <v>1.3273789814531902</v>
      </c>
      <c r="L6">
        <f t="shared" si="7"/>
        <v>132.53757478959622</v>
      </c>
      <c r="M6">
        <f t="shared" ref="M6:N69" si="8">B6-I6*$K$2</f>
        <v>6.2346210185468216</v>
      </c>
      <c r="N6">
        <f t="shared" si="8"/>
        <v>123.8244252104038</v>
      </c>
    </row>
    <row r="7" spans="1:14" x14ac:dyDescent="0.15">
      <c r="A7">
        <f t="shared" si="0"/>
        <v>0.2</v>
      </c>
      <c r="B7">
        <f t="shared" ref="B7:B70" si="9">(A7-$B$2)^3-$C$2^2*(A7-$B$2)+28</f>
        <v>7.328000000000003</v>
      </c>
      <c r="C7">
        <f t="shared" si="1"/>
        <v>130.12800000000001</v>
      </c>
      <c r="D7">
        <f t="shared" si="2"/>
        <v>34.32</v>
      </c>
      <c r="E7">
        <f t="shared" si="3"/>
        <v>18.32</v>
      </c>
      <c r="F7">
        <f t="shared" si="4"/>
        <v>38.903531973331162</v>
      </c>
      <c r="G7">
        <f t="shared" si="5"/>
        <v>0.88218211198733243</v>
      </c>
      <c r="H7">
        <f t="shared" si="6"/>
        <v>0.47090840010512619</v>
      </c>
      <c r="I7">
        <f t="array" ref="I7:J7">TRANSPOSE(MMULT({0,-1;1,0},TRANSPOSE(G7:H7)))</f>
        <v>-0.47090840010512619</v>
      </c>
      <c r="J7">
        <v>0.88218211198733243</v>
      </c>
      <c r="K7">
        <f t="shared" si="7"/>
        <v>4.9734579994743715</v>
      </c>
      <c r="L7">
        <f t="shared" si="7"/>
        <v>134.53891055993668</v>
      </c>
      <c r="M7">
        <f t="shared" si="8"/>
        <v>9.6825420005256344</v>
      </c>
      <c r="N7">
        <f t="shared" si="8"/>
        <v>125.71708944006335</v>
      </c>
    </row>
    <row r="8" spans="1:14" x14ac:dyDescent="0.15">
      <c r="A8">
        <f t="shared" si="0"/>
        <v>0.30000000000000004</v>
      </c>
      <c r="B8">
        <f t="shared" si="9"/>
        <v>10.646999999999998</v>
      </c>
      <c r="C8">
        <f t="shared" si="1"/>
        <v>131.84699999999998</v>
      </c>
      <c r="D8">
        <f t="shared" si="2"/>
        <v>32.070000000000007</v>
      </c>
      <c r="E8">
        <f t="shared" si="3"/>
        <v>16.070000000000007</v>
      </c>
      <c r="F8">
        <f t="shared" si="4"/>
        <v>35.871016155107739</v>
      </c>
      <c r="G8">
        <f t="shared" si="5"/>
        <v>0.89403656314970326</v>
      </c>
      <c r="H8">
        <f t="shared" si="6"/>
        <v>0.44799399968243642</v>
      </c>
      <c r="I8">
        <f t="array" ref="I8:J8">TRANSPOSE(MMULT({0,-1;1,0},TRANSPOSE(G8:H8)))</f>
        <v>-0.44799399968243642</v>
      </c>
      <c r="J8">
        <v>0.89403656314970326</v>
      </c>
      <c r="K8">
        <f t="shared" si="7"/>
        <v>8.4070300015878168</v>
      </c>
      <c r="L8">
        <f t="shared" si="7"/>
        <v>136.31718281574851</v>
      </c>
      <c r="M8">
        <f t="shared" si="8"/>
        <v>12.88696999841218</v>
      </c>
      <c r="N8">
        <f t="shared" si="8"/>
        <v>127.37681718425146</v>
      </c>
    </row>
    <row r="9" spans="1:14" x14ac:dyDescent="0.15">
      <c r="A9">
        <f t="shared" si="0"/>
        <v>0.4</v>
      </c>
      <c r="B9">
        <f t="shared" si="9"/>
        <v>13.743999999999993</v>
      </c>
      <c r="C9">
        <f t="shared" si="1"/>
        <v>133.34399999999999</v>
      </c>
      <c r="D9">
        <f t="shared" si="2"/>
        <v>29.880000000000003</v>
      </c>
      <c r="E9">
        <f t="shared" si="3"/>
        <v>13.880000000000003</v>
      </c>
      <c r="F9">
        <f t="shared" si="4"/>
        <v>32.946453526897251</v>
      </c>
      <c r="G9">
        <f t="shared" si="5"/>
        <v>0.90692614231168101</v>
      </c>
      <c r="H9">
        <f t="shared" si="6"/>
        <v>0.42128965379136996</v>
      </c>
      <c r="I9">
        <f t="array" ref="I9:J9">TRANSPOSE(MMULT({0,-1;1,0},TRANSPOSE(G9:H9)))</f>
        <v>-0.42128965379136996</v>
      </c>
      <c r="J9">
        <v>0.90692614231168101</v>
      </c>
      <c r="K9">
        <f t="shared" si="7"/>
        <v>11.637551731043143</v>
      </c>
      <c r="L9">
        <f t="shared" si="7"/>
        <v>137.8786307115584</v>
      </c>
      <c r="M9">
        <f t="shared" si="8"/>
        <v>15.850448268956843</v>
      </c>
      <c r="N9">
        <f t="shared" si="8"/>
        <v>128.80936928844159</v>
      </c>
    </row>
    <row r="10" spans="1:14" x14ac:dyDescent="0.15">
      <c r="A10">
        <f t="shared" si="0"/>
        <v>0.5</v>
      </c>
      <c r="B10">
        <f t="shared" si="9"/>
        <v>16.625</v>
      </c>
      <c r="C10">
        <f t="shared" si="1"/>
        <v>134.625</v>
      </c>
      <c r="D10">
        <f t="shared" si="2"/>
        <v>27.75</v>
      </c>
      <c r="E10">
        <f t="shared" si="3"/>
        <v>11.75</v>
      </c>
      <c r="F10">
        <f t="shared" si="4"/>
        <v>30.135112410608325</v>
      </c>
      <c r="G10">
        <f t="shared" si="5"/>
        <v>0.92085271234068122</v>
      </c>
      <c r="H10">
        <f t="shared" si="6"/>
        <v>0.38991060792803617</v>
      </c>
      <c r="I10">
        <f t="array" ref="I10:J10">TRANSPOSE(MMULT({0,-1;1,0},TRANSPOSE(G10:H10)))</f>
        <v>-0.38991060792803617</v>
      </c>
      <c r="J10">
        <v>0.92085271234068122</v>
      </c>
      <c r="K10">
        <f t="shared" si="7"/>
        <v>14.675446960359819</v>
      </c>
      <c r="L10">
        <f t="shared" si="7"/>
        <v>139.22926356170342</v>
      </c>
      <c r="M10">
        <f t="shared" si="8"/>
        <v>18.574553039640179</v>
      </c>
      <c r="N10">
        <f t="shared" si="8"/>
        <v>130.02073643829658</v>
      </c>
    </row>
    <row r="11" spans="1:14" x14ac:dyDescent="0.15">
      <c r="A11">
        <f t="shared" si="0"/>
        <v>0.6</v>
      </c>
      <c r="B11">
        <f t="shared" si="9"/>
        <v>19.296000000000003</v>
      </c>
      <c r="C11">
        <f t="shared" si="1"/>
        <v>135.696</v>
      </c>
      <c r="D11">
        <f t="shared" si="2"/>
        <v>25.679999999999993</v>
      </c>
      <c r="E11">
        <f t="shared" si="3"/>
        <v>9.6799999999999926</v>
      </c>
      <c r="F11">
        <f t="shared" si="4"/>
        <v>27.44384812667494</v>
      </c>
      <c r="G11">
        <f t="shared" si="5"/>
        <v>0.93572883370679649</v>
      </c>
      <c r="H11">
        <f t="shared" si="6"/>
        <v>0.35272021457483588</v>
      </c>
      <c r="I11">
        <f t="array" ref="I11:J11">TRANSPOSE(MMULT({0,-1;1,0},TRANSPOSE(G11:H11)))</f>
        <v>-0.35272021457483588</v>
      </c>
      <c r="J11">
        <v>0.93572883370679649</v>
      </c>
      <c r="K11">
        <f t="shared" si="7"/>
        <v>17.532398927125822</v>
      </c>
      <c r="L11">
        <f t="shared" si="7"/>
        <v>140.37464416853399</v>
      </c>
      <c r="M11">
        <f t="shared" si="8"/>
        <v>21.059601072874184</v>
      </c>
      <c r="N11">
        <f t="shared" si="8"/>
        <v>131.01735583146601</v>
      </c>
    </row>
    <row r="12" spans="1:14" x14ac:dyDescent="0.15">
      <c r="A12">
        <f t="shared" si="0"/>
        <v>0.7</v>
      </c>
      <c r="B12">
        <f t="shared" si="9"/>
        <v>21.763000000000002</v>
      </c>
      <c r="C12">
        <f t="shared" si="1"/>
        <v>136.56299999999999</v>
      </c>
      <c r="D12">
        <f t="shared" si="2"/>
        <v>23.669999999999995</v>
      </c>
      <c r="E12">
        <f t="shared" si="3"/>
        <v>7.6699999999999946</v>
      </c>
      <c r="F12">
        <f t="shared" si="4"/>
        <v>24.881675988566357</v>
      </c>
      <c r="G12">
        <f t="shared" si="5"/>
        <v>0.95130247700664727</v>
      </c>
      <c r="H12">
        <f t="shared" si="6"/>
        <v>0.30825897755137227</v>
      </c>
      <c r="I12">
        <f t="array" ref="I12:J12">TRANSPOSE(MMULT({0,-1;1,0},TRANSPOSE(G12:H12)))</f>
        <v>-0.30825897755137227</v>
      </c>
      <c r="J12">
        <v>0.95130247700664727</v>
      </c>
      <c r="K12">
        <f t="shared" si="7"/>
        <v>20.221705112243139</v>
      </c>
      <c r="L12">
        <f t="shared" si="7"/>
        <v>141.31951238503322</v>
      </c>
      <c r="M12">
        <f t="shared" si="8"/>
        <v>23.304294887756864</v>
      </c>
      <c r="N12">
        <f t="shared" si="8"/>
        <v>131.80648761496676</v>
      </c>
    </row>
    <row r="13" spans="1:14" x14ac:dyDescent="0.15">
      <c r="A13">
        <f t="shared" si="0"/>
        <v>0.79999999999999993</v>
      </c>
      <c r="B13">
        <f t="shared" si="9"/>
        <v>24.031999999999993</v>
      </c>
      <c r="C13">
        <f t="shared" si="1"/>
        <v>137.232</v>
      </c>
      <c r="D13">
        <f t="shared" si="2"/>
        <v>21.720000000000006</v>
      </c>
      <c r="E13">
        <f t="shared" si="3"/>
        <v>5.720000000000006</v>
      </c>
      <c r="F13">
        <f t="shared" si="4"/>
        <v>22.460560990322577</v>
      </c>
      <c r="G13">
        <f t="shared" si="5"/>
        <v>0.96702838407991454</v>
      </c>
      <c r="H13">
        <f t="shared" si="6"/>
        <v>0.25466861680189296</v>
      </c>
      <c r="I13">
        <f t="array" ref="I13:J13">TRANSPOSE(MMULT({0,-1;1,0},TRANSPOSE(G13:H13)))</f>
        <v>-0.25466861680189296</v>
      </c>
      <c r="J13">
        <v>0.96702838407991454</v>
      </c>
      <c r="K13">
        <f t="shared" si="7"/>
        <v>22.758656915990528</v>
      </c>
      <c r="L13">
        <f t="shared" si="7"/>
        <v>142.06714192039956</v>
      </c>
      <c r="M13">
        <f t="shared" si="8"/>
        <v>25.305343084009458</v>
      </c>
      <c r="N13">
        <f t="shared" si="8"/>
        <v>132.39685807960043</v>
      </c>
    </row>
    <row r="14" spans="1:14" x14ac:dyDescent="0.15">
      <c r="A14">
        <f t="shared" si="0"/>
        <v>0.89999999999999991</v>
      </c>
      <c r="B14">
        <f t="shared" si="9"/>
        <v>26.108999999999998</v>
      </c>
      <c r="C14">
        <f t="shared" si="1"/>
        <v>137.709</v>
      </c>
      <c r="D14">
        <f t="shared" si="2"/>
        <v>19.830000000000005</v>
      </c>
      <c r="E14">
        <f t="shared" si="3"/>
        <v>3.8300000000000054</v>
      </c>
      <c r="F14">
        <f t="shared" si="4"/>
        <v>20.196479891307799</v>
      </c>
      <c r="G14">
        <f t="shared" si="5"/>
        <v>0.98185426899736528</v>
      </c>
      <c r="H14">
        <f t="shared" si="6"/>
        <v>0.18963700707311715</v>
      </c>
      <c r="I14">
        <f t="array" ref="I14:J14">TRANSPOSE(MMULT({0,-1;1,0},TRANSPOSE(G14:H14)))</f>
        <v>-0.18963700707311715</v>
      </c>
      <c r="J14">
        <v>0.98185426899736528</v>
      </c>
      <c r="K14">
        <f t="shared" si="7"/>
        <v>25.160814964634412</v>
      </c>
      <c r="L14">
        <f t="shared" si="7"/>
        <v>142.61827134498682</v>
      </c>
      <c r="M14">
        <f t="shared" si="8"/>
        <v>27.057185035365585</v>
      </c>
      <c r="N14">
        <f t="shared" si="8"/>
        <v>132.79972865501318</v>
      </c>
    </row>
    <row r="15" spans="1:14" x14ac:dyDescent="0.15">
      <c r="A15">
        <f t="shared" si="0"/>
        <v>0.99999999999999989</v>
      </c>
      <c r="B15">
        <f t="shared" si="9"/>
        <v>28</v>
      </c>
      <c r="C15">
        <f t="shared" si="1"/>
        <v>138</v>
      </c>
      <c r="D15">
        <f t="shared" si="2"/>
        <v>18</v>
      </c>
      <c r="E15">
        <f t="shared" si="3"/>
        <v>2</v>
      </c>
      <c r="F15">
        <f t="shared" si="4"/>
        <v>18.110770276274835</v>
      </c>
      <c r="G15">
        <f t="shared" si="5"/>
        <v>0.99388373467361879</v>
      </c>
      <c r="H15">
        <f t="shared" si="6"/>
        <v>0.11043152607484653</v>
      </c>
      <c r="I15">
        <f t="array" ref="I15:J15">TRANSPOSE(MMULT({0,-1;1,0},TRANSPOSE(G15:H15)))</f>
        <v>-0.11043152607484653</v>
      </c>
      <c r="J15">
        <v>0.99388373467361879</v>
      </c>
      <c r="K15">
        <f t="shared" si="7"/>
        <v>27.447842369625768</v>
      </c>
      <c r="L15">
        <f t="shared" si="7"/>
        <v>142.9694186733681</v>
      </c>
      <c r="M15">
        <f t="shared" si="8"/>
        <v>28.552157630374232</v>
      </c>
      <c r="N15">
        <f t="shared" si="8"/>
        <v>133.0305813266319</v>
      </c>
    </row>
    <row r="16" spans="1:14" x14ac:dyDescent="0.15">
      <c r="A16">
        <f t="shared" si="0"/>
        <v>1.0999999999999999</v>
      </c>
      <c r="B16">
        <f t="shared" si="9"/>
        <v>29.710999999999991</v>
      </c>
      <c r="C16">
        <f t="shared" si="1"/>
        <v>138.11099999999999</v>
      </c>
      <c r="D16">
        <f t="shared" si="2"/>
        <v>16.230000000000004</v>
      </c>
      <c r="E16">
        <f t="shared" si="3"/>
        <v>0.23000000000000398</v>
      </c>
      <c r="F16">
        <f t="shared" si="4"/>
        <v>16.231629616276987</v>
      </c>
      <c r="G16">
        <f t="shared" si="5"/>
        <v>0.99989960242344689</v>
      </c>
      <c r="H16">
        <f t="shared" si="6"/>
        <v>1.4169864975810024E-2</v>
      </c>
      <c r="I16">
        <f t="array" ref="I16:J16">TRANSPOSE(MMULT({0,-1;1,0},TRANSPOSE(G16:H16)))</f>
        <v>-1.4169864975810024E-2</v>
      </c>
      <c r="J16">
        <v>0.99989960242344689</v>
      </c>
      <c r="K16">
        <f t="shared" si="7"/>
        <v>29.640150675120942</v>
      </c>
      <c r="L16">
        <f t="shared" si="7"/>
        <v>143.11049801211723</v>
      </c>
      <c r="M16">
        <f t="shared" si="8"/>
        <v>29.78184932487904</v>
      </c>
      <c r="N16">
        <f t="shared" si="8"/>
        <v>133.11150198788275</v>
      </c>
    </row>
    <row r="17" spans="1:14" x14ac:dyDescent="0.15">
      <c r="A17">
        <f t="shared" si="0"/>
        <v>1.2</v>
      </c>
      <c r="B17">
        <f t="shared" si="9"/>
        <v>31.248000000000005</v>
      </c>
      <c r="C17">
        <f t="shared" si="1"/>
        <v>138.048</v>
      </c>
      <c r="D17">
        <f t="shared" si="2"/>
        <v>14.519999999999996</v>
      </c>
      <c r="E17">
        <f t="shared" si="3"/>
        <v>-1.480000000000004</v>
      </c>
      <c r="F17">
        <f t="shared" si="4"/>
        <v>14.595232098188774</v>
      </c>
      <c r="G17">
        <f t="shared" si="5"/>
        <v>0.99484543324267427</v>
      </c>
      <c r="H17">
        <f t="shared" si="6"/>
        <v>-0.10140297804401943</v>
      </c>
      <c r="I17">
        <f t="array" ref="I17:J17">TRANSPOSE(MMULT({0,-1;1,0},TRANSPOSE(G17:H17)))</f>
        <v>0.10140297804401943</v>
      </c>
      <c r="J17">
        <v>0.99484543324267427</v>
      </c>
      <c r="K17">
        <f t="shared" si="7"/>
        <v>31.755014890220103</v>
      </c>
      <c r="L17">
        <f t="shared" si="7"/>
        <v>143.02222716621338</v>
      </c>
      <c r="M17">
        <f t="shared" si="8"/>
        <v>30.740985109779906</v>
      </c>
      <c r="N17">
        <f t="shared" si="8"/>
        <v>133.07377283378662</v>
      </c>
    </row>
    <row r="18" spans="1:14" x14ac:dyDescent="0.15">
      <c r="A18">
        <f t="shared" si="0"/>
        <v>1.3</v>
      </c>
      <c r="B18">
        <f t="shared" si="9"/>
        <v>32.616999999999997</v>
      </c>
      <c r="C18">
        <f t="shared" si="1"/>
        <v>137.81700000000001</v>
      </c>
      <c r="D18">
        <f t="shared" si="2"/>
        <v>12.870000000000005</v>
      </c>
      <c r="E18">
        <f t="shared" si="3"/>
        <v>-3.1299999999999955</v>
      </c>
      <c r="F18">
        <f t="shared" si="4"/>
        <v>13.245142505839643</v>
      </c>
      <c r="G18">
        <f t="shared" si="5"/>
        <v>0.97167697473437964</v>
      </c>
      <c r="H18">
        <f t="shared" si="6"/>
        <v>-0.23631304824542368</v>
      </c>
      <c r="I18">
        <f t="array" ref="I18:J18">TRANSPOSE(MMULT({0,-1;1,0},TRANSPOSE(G18:H18)))</f>
        <v>0.23631304824542368</v>
      </c>
      <c r="J18">
        <v>0.97167697473437964</v>
      </c>
      <c r="K18">
        <f t="shared" si="7"/>
        <v>33.798565241227116</v>
      </c>
      <c r="L18">
        <f t="shared" si="7"/>
        <v>142.6753848736719</v>
      </c>
      <c r="M18">
        <f t="shared" si="8"/>
        <v>31.435434758772878</v>
      </c>
      <c r="N18">
        <f t="shared" si="8"/>
        <v>132.95861512632811</v>
      </c>
    </row>
    <row r="19" spans="1:14" x14ac:dyDescent="0.15">
      <c r="A19">
        <f t="shared" si="0"/>
        <v>1.4000000000000001</v>
      </c>
      <c r="B19">
        <f t="shared" si="9"/>
        <v>33.824000000000005</v>
      </c>
      <c r="C19">
        <f t="shared" si="1"/>
        <v>137.42399999999998</v>
      </c>
      <c r="D19">
        <f t="shared" si="2"/>
        <v>11.279999999999994</v>
      </c>
      <c r="E19">
        <f t="shared" si="3"/>
        <v>-4.720000000000006</v>
      </c>
      <c r="F19">
        <f t="shared" si="4"/>
        <v>12.227706244427036</v>
      </c>
      <c r="G19">
        <f t="shared" si="5"/>
        <v>0.92249517403487069</v>
      </c>
      <c r="H19">
        <f t="shared" si="6"/>
        <v>-0.38600861892239341</v>
      </c>
      <c r="I19">
        <f t="array" ref="I19:J19">TRANSPOSE(MMULT({0,-1;1,0},TRANSPOSE(G19:H19)))</f>
        <v>0.38600861892239341</v>
      </c>
      <c r="J19">
        <v>0.92249517403487069</v>
      </c>
      <c r="K19">
        <f t="shared" si="7"/>
        <v>35.754043094611973</v>
      </c>
      <c r="L19">
        <f t="shared" si="7"/>
        <v>142.03647587017434</v>
      </c>
      <c r="M19">
        <f t="shared" si="8"/>
        <v>31.893956905388038</v>
      </c>
      <c r="N19">
        <f t="shared" si="8"/>
        <v>132.81152412982561</v>
      </c>
    </row>
    <row r="20" spans="1:14" x14ac:dyDescent="0.15">
      <c r="A20">
        <f t="shared" si="0"/>
        <v>1.5000000000000002</v>
      </c>
      <c r="B20">
        <f t="shared" si="9"/>
        <v>34.875</v>
      </c>
      <c r="C20">
        <f t="shared" si="1"/>
        <v>136.875</v>
      </c>
      <c r="D20">
        <f t="shared" si="2"/>
        <v>9.75</v>
      </c>
      <c r="E20">
        <f t="shared" si="3"/>
        <v>-6.25</v>
      </c>
      <c r="F20">
        <f t="shared" si="4"/>
        <v>11.58123482190047</v>
      </c>
      <c r="G20">
        <f t="shared" si="5"/>
        <v>0.84187913896387379</v>
      </c>
      <c r="H20">
        <f t="shared" si="6"/>
        <v>-0.53966611472043191</v>
      </c>
      <c r="I20">
        <f t="array" ref="I20:J20">TRANSPOSE(MMULT({0,-1;1,0},TRANSPOSE(G20:H20)))</f>
        <v>0.53966611472043191</v>
      </c>
      <c r="J20">
        <v>0.84187913896387379</v>
      </c>
      <c r="K20">
        <f t="shared" si="7"/>
        <v>37.573330573602156</v>
      </c>
      <c r="L20">
        <f t="shared" si="7"/>
        <v>141.08439569481936</v>
      </c>
      <c r="M20">
        <f t="shared" si="8"/>
        <v>32.176669426397844</v>
      </c>
      <c r="N20">
        <f t="shared" si="8"/>
        <v>132.66560430518064</v>
      </c>
    </row>
    <row r="21" spans="1:14" x14ac:dyDescent="0.15">
      <c r="A21">
        <f t="shared" si="0"/>
        <v>1.6000000000000003</v>
      </c>
      <c r="B21">
        <f t="shared" si="9"/>
        <v>35.776000000000003</v>
      </c>
      <c r="C21">
        <f t="shared" si="1"/>
        <v>136.17599999999999</v>
      </c>
      <c r="D21">
        <f t="shared" si="2"/>
        <v>8.2799999999999905</v>
      </c>
      <c r="E21">
        <f t="shared" si="3"/>
        <v>-7.7200000000000095</v>
      </c>
      <c r="F21">
        <f t="shared" si="4"/>
        <v>11.320636024535016</v>
      </c>
      <c r="G21">
        <f t="shared" si="5"/>
        <v>0.73140766844326521</v>
      </c>
      <c r="H21">
        <f t="shared" si="6"/>
        <v>-0.68194048313792521</v>
      </c>
      <c r="I21">
        <f t="array" ref="I21:J21">TRANSPOSE(MMULT({0,-1;1,0},TRANSPOSE(G21:H21)))</f>
        <v>0.68194048313792521</v>
      </c>
      <c r="J21">
        <v>0.73140766844326521</v>
      </c>
      <c r="K21">
        <f t="shared" si="7"/>
        <v>39.185702415689633</v>
      </c>
      <c r="L21">
        <f t="shared" si="7"/>
        <v>139.83303834221633</v>
      </c>
      <c r="M21">
        <f t="shared" si="8"/>
        <v>32.366297584310374</v>
      </c>
      <c r="N21">
        <f t="shared" si="8"/>
        <v>132.51896165778365</v>
      </c>
    </row>
    <row r="22" spans="1:14" x14ac:dyDescent="0.15">
      <c r="A22">
        <f t="shared" si="0"/>
        <v>1.7000000000000004</v>
      </c>
      <c r="B22">
        <f t="shared" si="9"/>
        <v>36.533000000000001</v>
      </c>
      <c r="C22">
        <f t="shared" si="1"/>
        <v>135.333</v>
      </c>
      <c r="D22">
        <f t="shared" si="2"/>
        <v>6.8699999999999974</v>
      </c>
      <c r="E22">
        <f t="shared" si="3"/>
        <v>-9.1300000000000026</v>
      </c>
      <c r="F22">
        <f t="shared" si="4"/>
        <v>11.426014178181298</v>
      </c>
      <c r="G22">
        <f t="shared" si="5"/>
        <v>0.60125953747884375</v>
      </c>
      <c r="H22">
        <f t="shared" si="6"/>
        <v>-0.79905379580521785</v>
      </c>
      <c r="I22">
        <f t="array" ref="I22:J22">TRANSPOSE(MMULT({0,-1;1,0},TRANSPOSE(G22:H22)))</f>
        <v>0.79905379580521785</v>
      </c>
      <c r="J22">
        <v>0.60125953747884375</v>
      </c>
      <c r="K22">
        <f t="shared" si="7"/>
        <v>40.528268979026087</v>
      </c>
      <c r="L22">
        <f t="shared" si="7"/>
        <v>138.33929768739421</v>
      </c>
      <c r="M22">
        <f t="shared" si="8"/>
        <v>32.537731020973915</v>
      </c>
      <c r="N22">
        <f t="shared" si="8"/>
        <v>132.32670231260579</v>
      </c>
    </row>
    <row r="23" spans="1:14" x14ac:dyDescent="0.15">
      <c r="A23">
        <f t="shared" si="0"/>
        <v>1.8000000000000005</v>
      </c>
      <c r="B23">
        <f t="shared" si="9"/>
        <v>37.152000000000001</v>
      </c>
      <c r="C23">
        <f t="shared" si="1"/>
        <v>134.352</v>
      </c>
      <c r="D23">
        <f t="shared" si="2"/>
        <v>5.5199999999999925</v>
      </c>
      <c r="E23">
        <f t="shared" si="3"/>
        <v>-10.480000000000008</v>
      </c>
      <c r="F23">
        <f t="shared" si="4"/>
        <v>11.844863865828094</v>
      </c>
      <c r="G23">
        <f t="shared" si="5"/>
        <v>0.46602477348219656</v>
      </c>
      <c r="H23">
        <f t="shared" si="6"/>
        <v>-0.88477167139373736</v>
      </c>
      <c r="I23">
        <f t="array" ref="I23:J23">TRANSPOSE(MMULT({0,-1;1,0},TRANSPOSE(G23:H23)))</f>
        <v>0.88477167139373736</v>
      </c>
      <c r="J23">
        <v>0.46602477348219656</v>
      </c>
      <c r="K23">
        <f t="shared" si="7"/>
        <v>41.575858356968688</v>
      </c>
      <c r="L23">
        <f t="shared" si="7"/>
        <v>136.68212386741098</v>
      </c>
      <c r="M23">
        <f t="shared" si="8"/>
        <v>32.728141643031314</v>
      </c>
      <c r="N23">
        <f t="shared" si="8"/>
        <v>132.02187613258903</v>
      </c>
    </row>
    <row r="24" spans="1:14" x14ac:dyDescent="0.15">
      <c r="A24">
        <f t="shared" si="0"/>
        <v>1.9000000000000006</v>
      </c>
      <c r="B24">
        <f t="shared" si="9"/>
        <v>37.639000000000003</v>
      </c>
      <c r="C24">
        <f t="shared" si="1"/>
        <v>133.239</v>
      </c>
      <c r="D24">
        <f t="shared" si="2"/>
        <v>4.2299999999999951</v>
      </c>
      <c r="E24">
        <f t="shared" si="3"/>
        <v>-11.770000000000005</v>
      </c>
      <c r="F24">
        <f t="shared" si="4"/>
        <v>12.507030023150984</v>
      </c>
      <c r="G24">
        <f t="shared" si="5"/>
        <v>0.33820979018760694</v>
      </c>
      <c r="H24">
        <f t="shared" si="6"/>
        <v>-0.94107074007284641</v>
      </c>
      <c r="I24">
        <f t="array" ref="I24:J24">TRANSPOSE(MMULT({0,-1;1,0},TRANSPOSE(G24:H24)))</f>
        <v>0.94107074007284641</v>
      </c>
      <c r="J24">
        <v>0.33820979018760694</v>
      </c>
      <c r="K24">
        <f t="shared" si="7"/>
        <v>42.344353700364238</v>
      </c>
      <c r="L24">
        <f t="shared" si="7"/>
        <v>134.93004895093804</v>
      </c>
      <c r="M24">
        <f t="shared" si="8"/>
        <v>32.933646299635768</v>
      </c>
      <c r="N24">
        <f t="shared" si="8"/>
        <v>131.54795104906196</v>
      </c>
    </row>
    <row r="25" spans="1:14" x14ac:dyDescent="0.15">
      <c r="A25">
        <f t="shared" si="0"/>
        <v>2.0000000000000004</v>
      </c>
      <c r="B25">
        <f t="shared" si="9"/>
        <v>38</v>
      </c>
      <c r="C25">
        <f t="shared" si="1"/>
        <v>132</v>
      </c>
      <c r="D25">
        <f t="shared" si="2"/>
        <v>2.9999999999999947</v>
      </c>
      <c r="E25">
        <f t="shared" si="3"/>
        <v>-13.000000000000005</v>
      </c>
      <c r="F25">
        <f t="shared" si="4"/>
        <v>13.341664064126338</v>
      </c>
      <c r="G25">
        <f t="shared" si="5"/>
        <v>0.22485950669875795</v>
      </c>
      <c r="H25">
        <f t="shared" si="6"/>
        <v>-0.97439119569461996</v>
      </c>
      <c r="I25">
        <f t="array" ref="I25:J25">TRANSPOSE(MMULT({0,-1;1,0},TRANSPOSE(G25:H25)))</f>
        <v>0.97439119569461996</v>
      </c>
      <c r="J25">
        <v>0.22485950669875795</v>
      </c>
      <c r="K25">
        <f t="shared" si="7"/>
        <v>42.871955978473096</v>
      </c>
      <c r="L25">
        <f t="shared" si="7"/>
        <v>133.1242975334938</v>
      </c>
      <c r="M25">
        <f t="shared" si="8"/>
        <v>33.128044021526904</v>
      </c>
      <c r="N25">
        <f t="shared" si="8"/>
        <v>130.8757024665062</v>
      </c>
    </row>
    <row r="26" spans="1:14" x14ac:dyDescent="0.15">
      <c r="A26">
        <f t="shared" si="0"/>
        <v>2.1000000000000005</v>
      </c>
      <c r="B26">
        <f t="shared" si="9"/>
        <v>38.241</v>
      </c>
      <c r="C26">
        <f t="shared" si="1"/>
        <v>130.64099999999999</v>
      </c>
      <c r="D26">
        <f t="shared" si="2"/>
        <v>1.8299999999999947</v>
      </c>
      <c r="E26">
        <f t="shared" si="3"/>
        <v>-14.170000000000005</v>
      </c>
      <c r="F26">
        <f t="shared" si="4"/>
        <v>14.287680007614957</v>
      </c>
      <c r="G26">
        <f t="shared" si="5"/>
        <v>0.12808237579681606</v>
      </c>
      <c r="H26">
        <f t="shared" si="6"/>
        <v>-0.99176353280922924</v>
      </c>
      <c r="I26">
        <f t="array" ref="I26:J26">TRANSPOSE(MMULT({0,-1;1,0},TRANSPOSE(G26:H26)))</f>
        <v>0.99176353280922924</v>
      </c>
      <c r="J26">
        <v>0.12808237579681606</v>
      </c>
      <c r="K26">
        <f t="shared" si="7"/>
        <v>43.199817664046144</v>
      </c>
      <c r="L26">
        <f t="shared" si="7"/>
        <v>131.28141187898407</v>
      </c>
      <c r="M26">
        <f t="shared" si="8"/>
        <v>33.282182335953856</v>
      </c>
      <c r="N26">
        <f t="shared" si="8"/>
        <v>130.00058812101591</v>
      </c>
    </row>
    <row r="27" spans="1:14" x14ac:dyDescent="0.15">
      <c r="A27">
        <f t="shared" si="0"/>
        <v>2.2000000000000006</v>
      </c>
      <c r="B27">
        <f t="shared" si="9"/>
        <v>38.368000000000002</v>
      </c>
      <c r="C27">
        <f t="shared" si="1"/>
        <v>129.16800000000001</v>
      </c>
      <c r="D27">
        <f t="shared" si="2"/>
        <v>0.71999999999999176</v>
      </c>
      <c r="E27">
        <f t="shared" si="3"/>
        <v>-15.280000000000008</v>
      </c>
      <c r="F27">
        <f t="shared" si="4"/>
        <v>15.296953945148696</v>
      </c>
      <c r="G27">
        <f t="shared" si="5"/>
        <v>4.7068194268070858E-2</v>
      </c>
      <c r="H27">
        <f t="shared" si="6"/>
        <v>-0.998891678355738</v>
      </c>
      <c r="I27">
        <f t="array" ref="I27:J27">TRANSPOSE(MMULT({0,-1;1,0},TRANSPOSE(G27:H27)))</f>
        <v>0.998891678355738</v>
      </c>
      <c r="J27">
        <v>4.7068194268070858E-2</v>
      </c>
      <c r="K27">
        <f t="shared" si="7"/>
        <v>43.362458391778695</v>
      </c>
      <c r="L27">
        <f t="shared" si="7"/>
        <v>129.40334097134036</v>
      </c>
      <c r="M27">
        <f t="shared" si="8"/>
        <v>33.373541608221309</v>
      </c>
      <c r="N27">
        <f t="shared" si="8"/>
        <v>128.93265902865966</v>
      </c>
    </row>
    <row r="28" spans="1:14" x14ac:dyDescent="0.15">
      <c r="A28">
        <f t="shared" si="0"/>
        <v>2.3000000000000007</v>
      </c>
      <c r="B28">
        <f t="shared" si="9"/>
        <v>38.387</v>
      </c>
      <c r="C28">
        <f t="shared" si="1"/>
        <v>127.58699999999999</v>
      </c>
      <c r="D28">
        <f t="shared" si="2"/>
        <v>-0.33000000000000718</v>
      </c>
      <c r="E28">
        <f t="shared" si="3"/>
        <v>-16.330000000000005</v>
      </c>
      <c r="F28">
        <f t="shared" si="4"/>
        <v>16.333334013605434</v>
      </c>
      <c r="G28">
        <f t="shared" si="5"/>
        <v>-2.0204080791167429E-2</v>
      </c>
      <c r="H28">
        <f t="shared" si="6"/>
        <v>-0.99979587672653658</v>
      </c>
      <c r="I28">
        <f t="array" ref="I28:J28">TRANSPOSE(MMULT({0,-1;1,0},TRANSPOSE(G28:H28)))</f>
        <v>0.99979587672653658</v>
      </c>
      <c r="J28">
        <v>-2.0204080791167429E-2</v>
      </c>
      <c r="K28">
        <f t="shared" si="7"/>
        <v>43.385979383632687</v>
      </c>
      <c r="L28">
        <f t="shared" si="7"/>
        <v>127.48597959604415</v>
      </c>
      <c r="M28">
        <f t="shared" si="8"/>
        <v>33.388020616367314</v>
      </c>
      <c r="N28">
        <f t="shared" si="8"/>
        <v>127.68802040395583</v>
      </c>
    </row>
    <row r="29" spans="1:14" x14ac:dyDescent="0.15">
      <c r="A29">
        <f t="shared" si="0"/>
        <v>2.4000000000000008</v>
      </c>
      <c r="B29">
        <f t="shared" si="9"/>
        <v>38.304000000000002</v>
      </c>
      <c r="C29">
        <f t="shared" si="1"/>
        <v>125.90399999999998</v>
      </c>
      <c r="D29">
        <f t="shared" si="2"/>
        <v>-1.3200000000000074</v>
      </c>
      <c r="E29">
        <f t="shared" si="3"/>
        <v>-17.320000000000007</v>
      </c>
      <c r="F29">
        <f t="shared" si="4"/>
        <v>17.370227402080847</v>
      </c>
      <c r="G29">
        <f t="shared" si="5"/>
        <v>-7.5992096674674478E-2</v>
      </c>
      <c r="H29">
        <f t="shared" si="6"/>
        <v>-0.99710842000405697</v>
      </c>
      <c r="I29">
        <f t="array" ref="I29:J29">TRANSPOSE(MMULT({0,-1;1,0},TRANSPOSE(G29:H29)))</f>
        <v>0.99710842000405697</v>
      </c>
      <c r="J29">
        <v>-7.5992096674674478E-2</v>
      </c>
      <c r="K29">
        <f t="shared" si="7"/>
        <v>43.289542100020284</v>
      </c>
      <c r="L29">
        <f t="shared" si="7"/>
        <v>125.52403951662662</v>
      </c>
      <c r="M29">
        <f t="shared" si="8"/>
        <v>33.31845789997972</v>
      </c>
      <c r="N29">
        <f t="shared" si="8"/>
        <v>126.28396048337335</v>
      </c>
    </row>
    <row r="30" spans="1:14" x14ac:dyDescent="0.15">
      <c r="A30">
        <f t="shared" si="0"/>
        <v>2.5000000000000009</v>
      </c>
      <c r="B30">
        <f t="shared" si="9"/>
        <v>38.125</v>
      </c>
      <c r="C30">
        <f t="shared" si="1"/>
        <v>124.12499999999999</v>
      </c>
      <c r="D30">
        <f t="shared" si="2"/>
        <v>-2.250000000000008</v>
      </c>
      <c r="E30">
        <f t="shared" si="3"/>
        <v>-18.250000000000007</v>
      </c>
      <c r="F30">
        <f t="shared" si="4"/>
        <v>18.388175548433303</v>
      </c>
      <c r="G30">
        <f t="shared" si="5"/>
        <v>-0.12236124209678383</v>
      </c>
      <c r="H30">
        <f t="shared" si="6"/>
        <v>-0.9924856303405768</v>
      </c>
      <c r="I30">
        <f t="array" ref="I30:J30">TRANSPOSE(MMULT({0,-1;1,0},TRANSPOSE(G30:H30)))</f>
        <v>0.9924856303405768</v>
      </c>
      <c r="J30">
        <v>-0.12236124209678383</v>
      </c>
      <c r="K30">
        <f t="shared" si="7"/>
        <v>43.087428151702881</v>
      </c>
      <c r="L30">
        <f t="shared" si="7"/>
        <v>123.51319378951607</v>
      </c>
      <c r="M30">
        <f t="shared" si="8"/>
        <v>33.162571848297119</v>
      </c>
      <c r="N30">
        <f t="shared" si="8"/>
        <v>124.73680621048391</v>
      </c>
    </row>
    <row r="31" spans="1:14" x14ac:dyDescent="0.15">
      <c r="A31">
        <f t="shared" si="0"/>
        <v>2.600000000000001</v>
      </c>
      <c r="B31">
        <f t="shared" si="9"/>
        <v>37.855999999999995</v>
      </c>
      <c r="C31">
        <f t="shared" si="1"/>
        <v>122.25599999999999</v>
      </c>
      <c r="D31">
        <f t="shared" si="2"/>
        <v>-3.1200000000000081</v>
      </c>
      <c r="E31">
        <f t="shared" si="3"/>
        <v>-19.120000000000008</v>
      </c>
      <c r="F31">
        <f t="shared" si="4"/>
        <v>19.372888272015619</v>
      </c>
      <c r="G31">
        <f t="shared" si="5"/>
        <v>-0.16104981127191487</v>
      </c>
      <c r="H31">
        <f t="shared" si="6"/>
        <v>-0.98694627933301449</v>
      </c>
      <c r="I31">
        <f t="array" ref="I31:J31">TRANSPOSE(MMULT({0,-1;1,0},TRANSPOSE(G31:H31)))</f>
        <v>0.98694627933301449</v>
      </c>
      <c r="J31">
        <v>-0.16104981127191487</v>
      </c>
      <c r="K31">
        <f t="shared" si="7"/>
        <v>42.790731396665066</v>
      </c>
      <c r="L31">
        <f t="shared" si="7"/>
        <v>121.45075094364041</v>
      </c>
      <c r="M31">
        <f t="shared" si="8"/>
        <v>32.921268603334923</v>
      </c>
      <c r="N31">
        <f t="shared" si="8"/>
        <v>123.06124905635956</v>
      </c>
    </row>
    <row r="32" spans="1:14" x14ac:dyDescent="0.15">
      <c r="A32">
        <f t="shared" si="0"/>
        <v>2.7000000000000011</v>
      </c>
      <c r="B32">
        <f t="shared" si="9"/>
        <v>37.503</v>
      </c>
      <c r="C32">
        <f t="shared" si="1"/>
        <v>120.30299999999997</v>
      </c>
      <c r="D32">
        <f t="shared" si="2"/>
        <v>-3.9300000000000086</v>
      </c>
      <c r="E32">
        <f t="shared" si="3"/>
        <v>-19.930000000000007</v>
      </c>
      <c r="F32">
        <f t="shared" si="4"/>
        <v>20.313783497910979</v>
      </c>
      <c r="G32">
        <f t="shared" si="5"/>
        <v>-0.19346469850897841</v>
      </c>
      <c r="H32">
        <f t="shared" si="6"/>
        <v>-0.98110723696792179</v>
      </c>
      <c r="I32">
        <f t="array" ref="I32:J32">TRANSPOSE(MMULT({0,-1;1,0},TRANSPOSE(G32:H32)))</f>
        <v>0.98110723696792179</v>
      </c>
      <c r="J32">
        <v>-0.19346469850897841</v>
      </c>
      <c r="K32">
        <f t="shared" si="7"/>
        <v>42.408536184839612</v>
      </c>
      <c r="L32">
        <f t="shared" si="7"/>
        <v>119.33567650745508</v>
      </c>
      <c r="M32">
        <f t="shared" si="8"/>
        <v>32.597463815160388</v>
      </c>
      <c r="N32">
        <f t="shared" si="8"/>
        <v>121.27032349254486</v>
      </c>
    </row>
    <row r="33" spans="1:14" x14ac:dyDescent="0.15">
      <c r="A33">
        <f t="shared" si="0"/>
        <v>2.8000000000000012</v>
      </c>
      <c r="B33">
        <f t="shared" si="9"/>
        <v>37.071999999999996</v>
      </c>
      <c r="C33">
        <f t="shared" si="1"/>
        <v>118.27199999999998</v>
      </c>
      <c r="D33">
        <f t="shared" si="2"/>
        <v>-4.6800000000000086</v>
      </c>
      <c r="E33">
        <f t="shared" si="3"/>
        <v>-20.680000000000007</v>
      </c>
      <c r="F33">
        <f t="shared" si="4"/>
        <v>21.202943191925037</v>
      </c>
      <c r="G33">
        <f t="shared" si="5"/>
        <v>-0.22072407390037943</v>
      </c>
      <c r="H33">
        <f t="shared" si="6"/>
        <v>-0.97533629236321362</v>
      </c>
      <c r="I33">
        <f t="array" ref="I33:J33">TRANSPOSE(MMULT({0,-1;1,0},TRANSPOSE(G33:H33)))</f>
        <v>0.97533629236321362</v>
      </c>
      <c r="J33">
        <v>-0.22072407390037943</v>
      </c>
      <c r="K33">
        <f t="shared" si="7"/>
        <v>41.948681461816065</v>
      </c>
      <c r="L33">
        <f t="shared" si="7"/>
        <v>117.16837963049808</v>
      </c>
      <c r="M33">
        <f t="shared" si="8"/>
        <v>32.195318538183926</v>
      </c>
      <c r="N33">
        <f t="shared" si="8"/>
        <v>119.37562036950187</v>
      </c>
    </row>
    <row r="34" spans="1:14" x14ac:dyDescent="0.15">
      <c r="A34">
        <f t="shared" si="0"/>
        <v>2.9000000000000012</v>
      </c>
      <c r="B34">
        <f t="shared" si="9"/>
        <v>36.568999999999988</v>
      </c>
      <c r="C34">
        <f t="shared" si="1"/>
        <v>116.16899999999997</v>
      </c>
      <c r="D34">
        <f t="shared" si="2"/>
        <v>-5.3700000000000081</v>
      </c>
      <c r="E34">
        <f t="shared" si="3"/>
        <v>-21.370000000000008</v>
      </c>
      <c r="F34">
        <f t="shared" si="4"/>
        <v>22.034377685789096</v>
      </c>
      <c r="G34">
        <f t="shared" si="5"/>
        <v>-0.24371008233481214</v>
      </c>
      <c r="H34">
        <f t="shared" si="6"/>
        <v>-0.96984813025976346</v>
      </c>
      <c r="I34">
        <f t="array" ref="I34:J34">TRANSPOSE(MMULT({0,-1;1,0},TRANSPOSE(G34:H34)))</f>
        <v>0.96984813025976346</v>
      </c>
      <c r="J34">
        <v>-0.24371008233481214</v>
      </c>
      <c r="K34">
        <f t="shared" si="7"/>
        <v>41.418240651298802</v>
      </c>
      <c r="L34">
        <f t="shared" si="7"/>
        <v>114.95044958832591</v>
      </c>
      <c r="M34">
        <f t="shared" si="8"/>
        <v>31.719759348701171</v>
      </c>
      <c r="N34">
        <f t="shared" si="8"/>
        <v>117.38755041167403</v>
      </c>
    </row>
    <row r="35" spans="1:14" x14ac:dyDescent="0.15">
      <c r="A35">
        <f t="shared" si="0"/>
        <v>3.0000000000000013</v>
      </c>
      <c r="B35">
        <f t="shared" si="9"/>
        <v>35.999999999999993</v>
      </c>
      <c r="C35">
        <f t="shared" si="1"/>
        <v>113.99999999999997</v>
      </c>
      <c r="D35">
        <f t="shared" si="2"/>
        <v>-6.000000000000008</v>
      </c>
      <c r="E35">
        <f t="shared" si="3"/>
        <v>-22.000000000000007</v>
      </c>
      <c r="F35">
        <f t="shared" si="4"/>
        <v>22.803508501982769</v>
      </c>
      <c r="G35">
        <f t="shared" si="5"/>
        <v>-0.26311740579210902</v>
      </c>
      <c r="H35">
        <f t="shared" si="6"/>
        <v>-0.96476382123773208</v>
      </c>
      <c r="I35">
        <f t="array" ref="I35:J35">TRANSPOSE(MMULT({0,-1;1,0},TRANSPOSE(G35:H35)))</f>
        <v>0.96476382123773208</v>
      </c>
      <c r="J35">
        <v>-0.26311740579210902</v>
      </c>
      <c r="K35">
        <f t="shared" si="7"/>
        <v>40.823819106188651</v>
      </c>
      <c r="L35">
        <f t="shared" si="7"/>
        <v>112.68441297103942</v>
      </c>
      <c r="M35">
        <f t="shared" si="8"/>
        <v>31.176180893811335</v>
      </c>
      <c r="N35">
        <f t="shared" si="8"/>
        <v>115.31558702896052</v>
      </c>
    </row>
    <row r="36" spans="1:14" x14ac:dyDescent="0.15">
      <c r="A36">
        <f t="shared" si="0"/>
        <v>3.1000000000000014</v>
      </c>
      <c r="B36">
        <f t="shared" si="9"/>
        <v>35.370999999999988</v>
      </c>
      <c r="C36">
        <f t="shared" si="1"/>
        <v>111.77099999999997</v>
      </c>
      <c r="D36">
        <f t="shared" si="2"/>
        <v>-6.5700000000000074</v>
      </c>
      <c r="E36">
        <f t="shared" si="3"/>
        <v>-22.570000000000007</v>
      </c>
      <c r="F36">
        <f t="shared" si="4"/>
        <v>23.506803270542775</v>
      </c>
      <c r="G36">
        <f t="shared" si="5"/>
        <v>-0.27949355445676921</v>
      </c>
      <c r="H36">
        <f t="shared" si="6"/>
        <v>-0.96014756835453208</v>
      </c>
      <c r="I36">
        <f t="array" ref="I36:J36">TRANSPOSE(MMULT({0,-1;1,0},TRANSPOSE(G36:H36)))</f>
        <v>0.96014756835453208</v>
      </c>
      <c r="J36">
        <v>-0.27949355445676921</v>
      </c>
      <c r="K36">
        <f t="shared" si="7"/>
        <v>40.171737841772647</v>
      </c>
      <c r="L36">
        <f t="shared" si="7"/>
        <v>110.37353222771613</v>
      </c>
      <c r="M36">
        <f t="shared" si="8"/>
        <v>30.57026215822733</v>
      </c>
      <c r="N36">
        <f t="shared" si="8"/>
        <v>113.16846777228382</v>
      </c>
    </row>
    <row r="37" spans="1:14" x14ac:dyDescent="0.15">
      <c r="A37">
        <f t="shared" si="0"/>
        <v>3.2000000000000015</v>
      </c>
      <c r="B37">
        <f t="shared" si="9"/>
        <v>34.687999999999988</v>
      </c>
      <c r="C37">
        <f t="shared" si="1"/>
        <v>109.48799999999997</v>
      </c>
      <c r="D37">
        <f t="shared" si="2"/>
        <v>-7.0800000000000072</v>
      </c>
      <c r="E37">
        <f t="shared" si="3"/>
        <v>-23.080000000000005</v>
      </c>
      <c r="F37">
        <f t="shared" si="4"/>
        <v>24.141516108148643</v>
      </c>
      <c r="G37">
        <f t="shared" si="5"/>
        <v>-0.29327072783180541</v>
      </c>
      <c r="H37">
        <f t="shared" si="6"/>
        <v>-0.95602943479633673</v>
      </c>
      <c r="I37">
        <f t="array" ref="I37:J37">TRANSPOSE(MMULT({0,-1;1,0},TRANSPOSE(G37:H37)))</f>
        <v>0.95602943479633673</v>
      </c>
      <c r="J37">
        <v>-0.29327072783180541</v>
      </c>
      <c r="K37">
        <f t="shared" si="7"/>
        <v>39.46814717398167</v>
      </c>
      <c r="L37">
        <f t="shared" si="7"/>
        <v>108.02164636084095</v>
      </c>
      <c r="M37">
        <f t="shared" si="8"/>
        <v>29.907852826018306</v>
      </c>
      <c r="N37">
        <f t="shared" si="8"/>
        <v>110.954353639159</v>
      </c>
    </row>
    <row r="38" spans="1:14" x14ac:dyDescent="0.15">
      <c r="A38">
        <f t="shared" si="0"/>
        <v>3.3000000000000016</v>
      </c>
      <c r="B38">
        <f t="shared" si="9"/>
        <v>33.956999999999987</v>
      </c>
      <c r="C38">
        <f t="shared" si="1"/>
        <v>107.15699999999997</v>
      </c>
      <c r="D38">
        <f t="shared" si="2"/>
        <v>-7.5300000000000065</v>
      </c>
      <c r="E38">
        <f t="shared" si="3"/>
        <v>-23.530000000000008</v>
      </c>
      <c r="F38">
        <f t="shared" si="4"/>
        <v>24.705501411628958</v>
      </c>
      <c r="G38">
        <f t="shared" si="5"/>
        <v>-0.30479041386529443</v>
      </c>
      <c r="H38">
        <f t="shared" si="6"/>
        <v>-0.95241944731080674</v>
      </c>
      <c r="I38">
        <f t="array" ref="I38:J38">TRANSPOSE(MMULT({0,-1;1,0},TRANSPOSE(G38:H38)))</f>
        <v>0.95241944731080674</v>
      </c>
      <c r="J38">
        <v>-0.30479041386529443</v>
      </c>
      <c r="K38">
        <f t="shared" si="7"/>
        <v>38.71909723655402</v>
      </c>
      <c r="L38">
        <f t="shared" si="7"/>
        <v>105.6330479306735</v>
      </c>
      <c r="M38">
        <f t="shared" si="8"/>
        <v>29.194902763445953</v>
      </c>
      <c r="N38">
        <f t="shared" si="8"/>
        <v>108.68095206932644</v>
      </c>
    </row>
    <row r="39" spans="1:14" x14ac:dyDescent="0.15">
      <c r="A39">
        <f t="shared" si="0"/>
        <v>3.4000000000000017</v>
      </c>
      <c r="B39">
        <f t="shared" si="9"/>
        <v>33.183999999999983</v>
      </c>
      <c r="C39">
        <f t="shared" si="1"/>
        <v>104.78399999999996</v>
      </c>
      <c r="D39">
        <f t="shared" si="2"/>
        <v>-7.9200000000000061</v>
      </c>
      <c r="E39">
        <f t="shared" si="3"/>
        <v>-23.920000000000005</v>
      </c>
      <c r="F39">
        <f t="shared" si="4"/>
        <v>25.197079195811575</v>
      </c>
      <c r="G39">
        <f t="shared" si="5"/>
        <v>-0.3143221457714242</v>
      </c>
      <c r="H39">
        <f t="shared" si="6"/>
        <v>-0.94931637965308868</v>
      </c>
      <c r="I39">
        <f t="array" ref="I39:J39">TRANSPOSE(MMULT({0,-1;1,0},TRANSPOSE(G39:H39)))</f>
        <v>0.94931637965308868</v>
      </c>
      <c r="J39">
        <v>-0.3143221457714242</v>
      </c>
      <c r="K39">
        <f t="shared" si="7"/>
        <v>37.93058189826543</v>
      </c>
      <c r="L39">
        <f t="shared" si="7"/>
        <v>103.21238927114284</v>
      </c>
      <c r="M39">
        <f t="shared" si="8"/>
        <v>28.43741810173454</v>
      </c>
      <c r="N39">
        <f t="shared" si="8"/>
        <v>106.35561072885709</v>
      </c>
    </row>
    <row r="40" spans="1:14" x14ac:dyDescent="0.15">
      <c r="A40">
        <f t="shared" si="0"/>
        <v>3.5000000000000018</v>
      </c>
      <c r="B40">
        <f t="shared" si="9"/>
        <v>32.374999999999986</v>
      </c>
      <c r="C40">
        <f t="shared" si="1"/>
        <v>102.37499999999996</v>
      </c>
      <c r="D40">
        <f t="shared" si="2"/>
        <v>-8.2500000000000053</v>
      </c>
      <c r="E40">
        <f t="shared" si="3"/>
        <v>-24.250000000000007</v>
      </c>
      <c r="F40">
        <f t="shared" si="4"/>
        <v>25.614937048526986</v>
      </c>
      <c r="G40">
        <f t="shared" si="5"/>
        <v>-0.32207769960045363</v>
      </c>
      <c r="H40">
        <f t="shared" si="6"/>
        <v>-0.94671323821951492</v>
      </c>
      <c r="I40">
        <f t="array" ref="I40:J40">TRANSPOSE(MMULT({0,-1;1,0},TRANSPOSE(G40:H40)))</f>
        <v>0.94671323821951492</v>
      </c>
      <c r="J40">
        <v>-0.32207769960045363</v>
      </c>
      <c r="K40">
        <f t="shared" si="7"/>
        <v>37.108566191097559</v>
      </c>
      <c r="L40">
        <f t="shared" si="7"/>
        <v>100.76461150199769</v>
      </c>
      <c r="M40">
        <f t="shared" si="8"/>
        <v>27.641433808902413</v>
      </c>
      <c r="N40">
        <f t="shared" si="8"/>
        <v>103.98538849800222</v>
      </c>
    </row>
    <row r="41" spans="1:14" x14ac:dyDescent="0.15">
      <c r="A41">
        <f t="shared" si="0"/>
        <v>3.6000000000000019</v>
      </c>
      <c r="B41">
        <f t="shared" si="9"/>
        <v>31.535999999999984</v>
      </c>
      <c r="C41">
        <f t="shared" si="1"/>
        <v>99.93599999999995</v>
      </c>
      <c r="D41">
        <f t="shared" si="2"/>
        <v>-8.5200000000000049</v>
      </c>
      <c r="E41">
        <f t="shared" si="3"/>
        <v>-24.520000000000003</v>
      </c>
      <c r="F41">
        <f t="shared" si="4"/>
        <v>25.958058479015726</v>
      </c>
      <c r="G41">
        <f t="shared" si="5"/>
        <v>-0.32822177386215151</v>
      </c>
      <c r="H41">
        <f t="shared" si="6"/>
        <v>-0.94460069191313989</v>
      </c>
      <c r="I41">
        <f t="array" ref="I41:J41">TRANSPOSE(MMULT({0,-1;1,0},TRANSPOSE(G41:H41)))</f>
        <v>0.94460069191313989</v>
      </c>
      <c r="J41">
        <v>-0.32822177386215151</v>
      </c>
      <c r="K41">
        <f t="shared" si="7"/>
        <v>36.259003459565683</v>
      </c>
      <c r="L41">
        <f t="shared" si="7"/>
        <v>98.294891130689194</v>
      </c>
      <c r="M41">
        <f t="shared" si="8"/>
        <v>26.812996540434284</v>
      </c>
      <c r="N41">
        <f t="shared" si="8"/>
        <v>101.57710886931071</v>
      </c>
    </row>
    <row r="42" spans="1:14" x14ac:dyDescent="0.15">
      <c r="A42">
        <f t="shared" si="0"/>
        <v>3.700000000000002</v>
      </c>
      <c r="B42">
        <f t="shared" si="9"/>
        <v>30.672999999999984</v>
      </c>
      <c r="C42">
        <f t="shared" si="1"/>
        <v>97.472999999999956</v>
      </c>
      <c r="D42">
        <f t="shared" si="2"/>
        <v>-8.730000000000004</v>
      </c>
      <c r="E42">
        <f t="shared" si="3"/>
        <v>-24.730000000000004</v>
      </c>
      <c r="F42">
        <f t="shared" si="4"/>
        <v>26.2256706301288</v>
      </c>
      <c r="G42">
        <f t="shared" si="5"/>
        <v>-0.33287995274258997</v>
      </c>
      <c r="H42">
        <f t="shared" si="6"/>
        <v>-0.94296921321010851</v>
      </c>
      <c r="I42">
        <f t="array" ref="I42:J42">TRANSPOSE(MMULT({0,-1;1,0},TRANSPOSE(G42:H42)))</f>
        <v>0.94296921321010851</v>
      </c>
      <c r="J42">
        <v>-0.33287995274258997</v>
      </c>
      <c r="K42">
        <f t="shared" si="7"/>
        <v>35.387846066050528</v>
      </c>
      <c r="L42">
        <f t="shared" si="7"/>
        <v>95.808600236287006</v>
      </c>
      <c r="M42">
        <f t="shared" si="8"/>
        <v>25.95815393394944</v>
      </c>
      <c r="N42">
        <f t="shared" si="8"/>
        <v>99.137399763712907</v>
      </c>
    </row>
    <row r="43" spans="1:14" x14ac:dyDescent="0.15">
      <c r="A43">
        <f t="shared" si="0"/>
        <v>3.800000000000002</v>
      </c>
      <c r="B43">
        <f t="shared" si="9"/>
        <v>29.79199999999998</v>
      </c>
      <c r="C43">
        <f t="shared" si="1"/>
        <v>94.991999999999948</v>
      </c>
      <c r="D43">
        <f t="shared" si="2"/>
        <v>-8.8800000000000026</v>
      </c>
      <c r="E43">
        <f t="shared" si="3"/>
        <v>-24.880000000000003</v>
      </c>
      <c r="F43">
        <f t="shared" si="4"/>
        <v>26.417206513937089</v>
      </c>
      <c r="G43">
        <f t="shared" si="5"/>
        <v>-0.33614455015579053</v>
      </c>
      <c r="H43">
        <f t="shared" si="6"/>
        <v>-0.94181040629234991</v>
      </c>
      <c r="I43">
        <f t="array" ref="I43:J43">TRANSPOSE(MMULT({0,-1;1,0},TRANSPOSE(G43:H43)))</f>
        <v>0.94181040629234991</v>
      </c>
      <c r="J43">
        <v>-0.33614455015579053</v>
      </c>
      <c r="K43">
        <f t="shared" si="7"/>
        <v>34.501052031461732</v>
      </c>
      <c r="L43">
        <f t="shared" si="7"/>
        <v>93.311277249220993</v>
      </c>
      <c r="M43">
        <f t="shared" si="8"/>
        <v>25.082947968538232</v>
      </c>
      <c r="N43">
        <f t="shared" si="8"/>
        <v>96.672722750778902</v>
      </c>
    </row>
    <row r="44" spans="1:14" x14ac:dyDescent="0.15">
      <c r="A44">
        <f t="shared" si="0"/>
        <v>3.9000000000000021</v>
      </c>
      <c r="B44">
        <f t="shared" si="9"/>
        <v>28.89899999999998</v>
      </c>
      <c r="C44">
        <f t="shared" si="1"/>
        <v>92.498999999999953</v>
      </c>
      <c r="D44">
        <f t="shared" si="2"/>
        <v>-8.9700000000000006</v>
      </c>
      <c r="E44">
        <f t="shared" si="3"/>
        <v>-24.970000000000002</v>
      </c>
      <c r="F44">
        <f t="shared" si="4"/>
        <v>26.532278454742634</v>
      </c>
      <c r="G44">
        <f t="shared" si="5"/>
        <v>-0.33807876753971788</v>
      </c>
      <c r="H44">
        <f t="shared" si="6"/>
        <v>-0.94111781777778769</v>
      </c>
      <c r="I44">
        <f t="array" ref="I44:J44">TRANSPOSE(MMULT({0,-1;1,0},TRANSPOSE(G44:H44)))</f>
        <v>0.94111781777778769</v>
      </c>
      <c r="J44">
        <v>-0.33807876753971788</v>
      </c>
      <c r="K44">
        <f t="shared" si="7"/>
        <v>33.604589088888915</v>
      </c>
      <c r="L44">
        <f t="shared" si="7"/>
        <v>90.808606162301359</v>
      </c>
      <c r="M44">
        <f t="shared" si="8"/>
        <v>24.193410911111041</v>
      </c>
      <c r="N44">
        <f t="shared" si="8"/>
        <v>94.189393837698546</v>
      </c>
    </row>
    <row r="45" spans="1:14" x14ac:dyDescent="0.15">
      <c r="A45">
        <v>4.0999999999999996</v>
      </c>
      <c r="B45">
        <f t="shared" si="9"/>
        <v>27.101000000000003</v>
      </c>
      <c r="C45">
        <f t="shared" si="1"/>
        <v>87.501000000000005</v>
      </c>
      <c r="D45">
        <f t="shared" si="2"/>
        <v>-8.9700000000000006</v>
      </c>
      <c r="E45">
        <f t="shared" si="3"/>
        <v>-24.97</v>
      </c>
      <c r="F45">
        <f t="shared" si="4"/>
        <v>26.532278454742631</v>
      </c>
      <c r="G45">
        <f t="shared" si="5"/>
        <v>-0.33807876753971794</v>
      </c>
      <c r="H45">
        <f t="shared" si="6"/>
        <v>-0.94111781777778769</v>
      </c>
      <c r="I45">
        <f t="array" ref="I45:J45">TRANSPOSE(MMULT({0,-1;1,0},TRANSPOSE(G45:H45)))</f>
        <v>0.94111781777778769</v>
      </c>
      <c r="J45">
        <v>-0.33807876753971794</v>
      </c>
      <c r="K45">
        <f t="shared" si="7"/>
        <v>31.806589088888941</v>
      </c>
      <c r="L45">
        <f t="shared" si="7"/>
        <v>85.810606162301411</v>
      </c>
      <c r="M45">
        <f t="shared" si="8"/>
        <v>22.395410911111064</v>
      </c>
      <c r="N45">
        <f t="shared" si="8"/>
        <v>89.191393837698598</v>
      </c>
    </row>
    <row r="46" spans="1:14" x14ac:dyDescent="0.15">
      <c r="A46">
        <f>A45+$C$1</f>
        <v>4.1999999999999993</v>
      </c>
      <c r="B46">
        <f t="shared" si="9"/>
        <v>26.208000000000006</v>
      </c>
      <c r="C46">
        <f t="shared" si="1"/>
        <v>85.008000000000024</v>
      </c>
      <c r="D46">
        <f t="shared" si="2"/>
        <v>-8.8800000000000008</v>
      </c>
      <c r="E46">
        <f t="shared" si="3"/>
        <v>-24.880000000000003</v>
      </c>
      <c r="F46">
        <f t="shared" si="4"/>
        <v>26.417206513937089</v>
      </c>
      <c r="G46">
        <f t="shared" si="5"/>
        <v>-0.33614455015579048</v>
      </c>
      <c r="H46">
        <f t="shared" si="6"/>
        <v>-0.94181040629234991</v>
      </c>
      <c r="I46">
        <f t="array" ref="I46:J46">TRANSPOSE(MMULT({0,-1;1,0},TRANSPOSE(G46:H46)))</f>
        <v>0.94181040629234991</v>
      </c>
      <c r="J46">
        <v>-0.33614455015579048</v>
      </c>
      <c r="K46">
        <f t="shared" si="7"/>
        <v>30.917052031461754</v>
      </c>
      <c r="L46">
        <f t="shared" si="7"/>
        <v>83.327277249221069</v>
      </c>
      <c r="M46">
        <f t="shared" si="8"/>
        <v>21.498947968538257</v>
      </c>
      <c r="N46">
        <f t="shared" si="8"/>
        <v>86.688722750778979</v>
      </c>
    </row>
    <row r="47" spans="1:14" x14ac:dyDescent="0.15">
      <c r="A47">
        <f t="shared" ref="A47:A95" si="10">A46+$C$1</f>
        <v>4.2999999999999989</v>
      </c>
      <c r="B47">
        <f t="shared" si="9"/>
        <v>25.327000000000009</v>
      </c>
      <c r="C47">
        <f t="shared" si="1"/>
        <v>82.527000000000029</v>
      </c>
      <c r="D47">
        <f t="shared" si="2"/>
        <v>-8.7300000000000022</v>
      </c>
      <c r="E47">
        <f t="shared" si="3"/>
        <v>-24.73</v>
      </c>
      <c r="F47">
        <f t="shared" si="4"/>
        <v>26.225670630128793</v>
      </c>
      <c r="G47">
        <f t="shared" si="5"/>
        <v>-0.33287995274258997</v>
      </c>
      <c r="H47">
        <f t="shared" si="6"/>
        <v>-0.94296921321010863</v>
      </c>
      <c r="I47">
        <f t="array" ref="I47:J47">TRANSPOSE(MMULT({0,-1;1,0},TRANSPOSE(G47:H47)))</f>
        <v>0.94296921321010863</v>
      </c>
      <c r="J47">
        <v>-0.33287995274258997</v>
      </c>
      <c r="K47">
        <f t="shared" si="7"/>
        <v>30.041846066050553</v>
      </c>
      <c r="L47">
        <f t="shared" si="7"/>
        <v>80.862600236287079</v>
      </c>
      <c r="M47">
        <f t="shared" si="8"/>
        <v>20.612153933949465</v>
      </c>
      <c r="N47">
        <f t="shared" si="8"/>
        <v>84.19139976371298</v>
      </c>
    </row>
    <row r="48" spans="1:14" x14ac:dyDescent="0.15">
      <c r="A48">
        <f t="shared" si="10"/>
        <v>4.3999999999999986</v>
      </c>
      <c r="B48">
        <f t="shared" si="9"/>
        <v>24.464000000000013</v>
      </c>
      <c r="C48">
        <f t="shared" si="1"/>
        <v>80.064000000000036</v>
      </c>
      <c r="D48">
        <f t="shared" si="2"/>
        <v>-8.5200000000000031</v>
      </c>
      <c r="E48">
        <f t="shared" si="3"/>
        <v>-24.520000000000003</v>
      </c>
      <c r="F48">
        <f t="shared" si="4"/>
        <v>25.958058479015726</v>
      </c>
      <c r="G48">
        <f t="shared" si="5"/>
        <v>-0.32822177386215146</v>
      </c>
      <c r="H48">
        <f t="shared" si="6"/>
        <v>-0.94460069191313989</v>
      </c>
      <c r="I48">
        <f t="array" ref="I48:J48">TRANSPOSE(MMULT({0,-1;1,0},TRANSPOSE(G48:H48)))</f>
        <v>0.94460069191313989</v>
      </c>
      <c r="J48">
        <v>-0.32822177386215146</v>
      </c>
      <c r="K48">
        <f t="shared" si="7"/>
        <v>29.187003459565712</v>
      </c>
      <c r="L48">
        <f t="shared" si="7"/>
        <v>78.42289113068928</v>
      </c>
      <c r="M48">
        <f t="shared" si="8"/>
        <v>19.740996540434313</v>
      </c>
      <c r="N48">
        <f t="shared" si="8"/>
        <v>81.705108869310791</v>
      </c>
    </row>
    <row r="49" spans="1:14" x14ac:dyDescent="0.15">
      <c r="A49">
        <f t="shared" si="10"/>
        <v>4.4999999999999982</v>
      </c>
      <c r="B49">
        <f t="shared" si="9"/>
        <v>23.625000000000014</v>
      </c>
      <c r="C49">
        <f t="shared" si="1"/>
        <v>77.625000000000043</v>
      </c>
      <c r="D49">
        <f t="shared" si="2"/>
        <v>-8.2500000000000053</v>
      </c>
      <c r="E49">
        <f t="shared" si="3"/>
        <v>-24.250000000000007</v>
      </c>
      <c r="F49">
        <f t="shared" si="4"/>
        <v>25.614937048526986</v>
      </c>
      <c r="G49">
        <f t="shared" si="5"/>
        <v>-0.32207769960045363</v>
      </c>
      <c r="H49">
        <f t="shared" si="6"/>
        <v>-0.94671323821951492</v>
      </c>
      <c r="I49">
        <f t="array" ref="I49:J49">TRANSPOSE(MMULT({0,-1;1,0},TRANSPOSE(G49:H49)))</f>
        <v>0.94671323821951492</v>
      </c>
      <c r="J49">
        <v>-0.32207769960045363</v>
      </c>
      <c r="K49">
        <f t="shared" si="7"/>
        <v>28.358566191097587</v>
      </c>
      <c r="L49">
        <f t="shared" si="7"/>
        <v>76.014611501997777</v>
      </c>
      <c r="M49">
        <f t="shared" si="8"/>
        <v>18.891433808902441</v>
      </c>
      <c r="N49">
        <f t="shared" si="8"/>
        <v>79.235388498002308</v>
      </c>
    </row>
    <row r="50" spans="1:14" x14ac:dyDescent="0.15">
      <c r="A50">
        <f t="shared" si="10"/>
        <v>4.5999999999999979</v>
      </c>
      <c r="B50">
        <f t="shared" si="9"/>
        <v>22.816000000000017</v>
      </c>
      <c r="C50">
        <f t="shared" si="1"/>
        <v>75.216000000000051</v>
      </c>
      <c r="D50">
        <f t="shared" si="2"/>
        <v>-7.9200000000000079</v>
      </c>
      <c r="E50">
        <f t="shared" si="3"/>
        <v>-23.920000000000009</v>
      </c>
      <c r="F50">
        <f t="shared" si="4"/>
        <v>25.197079195811575</v>
      </c>
      <c r="G50">
        <f t="shared" si="5"/>
        <v>-0.31432214577142426</v>
      </c>
      <c r="H50">
        <f t="shared" si="6"/>
        <v>-0.9493163796530889</v>
      </c>
      <c r="I50">
        <f t="array" ref="I50:J50">TRANSPOSE(MMULT({0,-1;1,0},TRANSPOSE(G50:H50)))</f>
        <v>0.9493163796530889</v>
      </c>
      <c r="J50">
        <v>-0.31432214577142426</v>
      </c>
      <c r="K50">
        <f t="shared" si="7"/>
        <v>27.56258189826546</v>
      </c>
      <c r="L50">
        <f t="shared" si="7"/>
        <v>73.644389271142927</v>
      </c>
      <c r="M50">
        <f t="shared" si="8"/>
        <v>18.069418101734573</v>
      </c>
      <c r="N50">
        <f t="shared" si="8"/>
        <v>76.787610728857175</v>
      </c>
    </row>
    <row r="51" spans="1:14" x14ac:dyDescent="0.15">
      <c r="A51">
        <f t="shared" si="10"/>
        <v>4.6999999999999975</v>
      </c>
      <c r="B51">
        <f t="shared" si="9"/>
        <v>22.043000000000021</v>
      </c>
      <c r="C51">
        <f t="shared" si="1"/>
        <v>72.84300000000006</v>
      </c>
      <c r="D51">
        <f t="shared" si="2"/>
        <v>-7.53000000000001</v>
      </c>
      <c r="E51">
        <f t="shared" si="3"/>
        <v>-23.530000000000012</v>
      </c>
      <c r="F51">
        <f t="shared" si="4"/>
        <v>24.705501411628962</v>
      </c>
      <c r="G51">
        <f t="shared" si="5"/>
        <v>-0.30479041386529454</v>
      </c>
      <c r="H51">
        <f t="shared" si="6"/>
        <v>-0.95241944731080674</v>
      </c>
      <c r="I51">
        <f t="array" ref="I51:J51">TRANSPOSE(MMULT({0,-1;1,0},TRANSPOSE(G51:H51)))</f>
        <v>0.95241944731080674</v>
      </c>
      <c r="J51">
        <v>-0.30479041386529454</v>
      </c>
      <c r="K51">
        <f t="shared" si="7"/>
        <v>26.805097236554055</v>
      </c>
      <c r="L51">
        <f t="shared" si="7"/>
        <v>71.319047930673591</v>
      </c>
      <c r="M51">
        <f t="shared" si="8"/>
        <v>17.280902763445987</v>
      </c>
      <c r="N51">
        <f t="shared" si="8"/>
        <v>74.36695206932653</v>
      </c>
    </row>
    <row r="52" spans="1:14" x14ac:dyDescent="0.15">
      <c r="A52">
        <f t="shared" si="10"/>
        <v>4.7999999999999972</v>
      </c>
      <c r="B52">
        <f t="shared" si="9"/>
        <v>21.312000000000019</v>
      </c>
      <c r="C52">
        <f t="shared" si="1"/>
        <v>70.512000000000057</v>
      </c>
      <c r="D52">
        <f t="shared" si="2"/>
        <v>-7.0800000000000134</v>
      </c>
      <c r="E52">
        <f t="shared" si="3"/>
        <v>-23.080000000000013</v>
      </c>
      <c r="F52">
        <f t="shared" si="4"/>
        <v>24.14151610814865</v>
      </c>
      <c r="G52">
        <f t="shared" si="5"/>
        <v>-0.29327072783180558</v>
      </c>
      <c r="H52">
        <f t="shared" si="6"/>
        <v>-0.95602943479633673</v>
      </c>
      <c r="I52">
        <f t="array" ref="I52:J52">TRANSPOSE(MMULT({0,-1;1,0},TRANSPOSE(G52:H52)))</f>
        <v>0.95602943479633673</v>
      </c>
      <c r="J52">
        <v>-0.29327072783180558</v>
      </c>
      <c r="K52">
        <f t="shared" si="7"/>
        <v>26.092147173981701</v>
      </c>
      <c r="L52">
        <f t="shared" si="7"/>
        <v>69.045646360841033</v>
      </c>
      <c r="M52">
        <f t="shared" si="8"/>
        <v>16.531852826018337</v>
      </c>
      <c r="N52">
        <f t="shared" si="8"/>
        <v>71.978353639159081</v>
      </c>
    </row>
    <row r="53" spans="1:14" x14ac:dyDescent="0.15">
      <c r="A53">
        <f t="shared" si="10"/>
        <v>4.8999999999999968</v>
      </c>
      <c r="B53">
        <f t="shared" si="9"/>
        <v>20.629000000000019</v>
      </c>
      <c r="C53">
        <f t="shared" si="1"/>
        <v>68.22900000000007</v>
      </c>
      <c r="D53">
        <f t="shared" si="2"/>
        <v>-6.5700000000000172</v>
      </c>
      <c r="E53">
        <f t="shared" si="3"/>
        <v>-22.570000000000018</v>
      </c>
      <c r="F53">
        <f t="shared" si="4"/>
        <v>23.506803270542786</v>
      </c>
      <c r="G53">
        <f t="shared" si="5"/>
        <v>-0.27949355445676949</v>
      </c>
      <c r="H53">
        <f t="shared" si="6"/>
        <v>-0.96014756835453208</v>
      </c>
      <c r="I53">
        <f t="array" ref="I53:J53">TRANSPOSE(MMULT({0,-1;1,0},TRANSPOSE(G53:H53)))</f>
        <v>0.96014756835453208</v>
      </c>
      <c r="J53">
        <v>-0.27949355445676949</v>
      </c>
      <c r="K53">
        <f t="shared" si="7"/>
        <v>25.429737841772678</v>
      </c>
      <c r="L53">
        <f t="shared" si="7"/>
        <v>66.831532227716224</v>
      </c>
      <c r="M53">
        <f t="shared" si="8"/>
        <v>15.828262158227359</v>
      </c>
      <c r="N53">
        <f t="shared" si="8"/>
        <v>69.626467772283917</v>
      </c>
    </row>
    <row r="54" spans="1:14" x14ac:dyDescent="0.15">
      <c r="A54">
        <f t="shared" si="10"/>
        <v>4.9999999999999964</v>
      </c>
      <c r="B54">
        <f t="shared" si="9"/>
        <v>20.000000000000021</v>
      </c>
      <c r="C54">
        <f t="shared" si="1"/>
        <v>66.000000000000085</v>
      </c>
      <c r="D54">
        <f t="shared" si="2"/>
        <v>-6.0000000000000213</v>
      </c>
      <c r="E54">
        <f t="shared" si="3"/>
        <v>-22.000000000000021</v>
      </c>
      <c r="F54">
        <f t="shared" si="4"/>
        <v>22.803508501982783</v>
      </c>
      <c r="G54">
        <f t="shared" si="5"/>
        <v>-0.2631174057921094</v>
      </c>
      <c r="H54">
        <f t="shared" si="6"/>
        <v>-0.96476382123773208</v>
      </c>
      <c r="I54">
        <f t="array" ref="I54:J54">TRANSPOSE(MMULT({0,-1;1,0},TRANSPOSE(G54:H54)))</f>
        <v>0.96476382123773208</v>
      </c>
      <c r="J54">
        <v>-0.2631174057921094</v>
      </c>
      <c r="K54">
        <f t="shared" si="7"/>
        <v>24.823819106188679</v>
      </c>
      <c r="L54">
        <f t="shared" si="7"/>
        <v>64.684412971039535</v>
      </c>
      <c r="M54">
        <f t="shared" si="8"/>
        <v>15.176180893811361</v>
      </c>
      <c r="N54">
        <f t="shared" si="8"/>
        <v>67.315587028960636</v>
      </c>
    </row>
    <row r="55" spans="1:14" x14ac:dyDescent="0.15">
      <c r="A55">
        <f t="shared" si="10"/>
        <v>5.0999999999999961</v>
      </c>
      <c r="B55">
        <f t="shared" si="9"/>
        <v>19.431000000000019</v>
      </c>
      <c r="C55">
        <f t="shared" si="1"/>
        <v>63.831000000000088</v>
      </c>
      <c r="D55">
        <f t="shared" si="2"/>
        <v>-5.3700000000000259</v>
      </c>
      <c r="E55">
        <f t="shared" si="3"/>
        <v>-21.370000000000026</v>
      </c>
      <c r="F55">
        <f t="shared" si="4"/>
        <v>22.034377685789117</v>
      </c>
      <c r="G55">
        <f t="shared" si="5"/>
        <v>-0.24371008233481273</v>
      </c>
      <c r="H55">
        <f t="shared" si="6"/>
        <v>-0.96984813025976335</v>
      </c>
      <c r="I55">
        <f t="array" ref="I55:J55">TRANSPOSE(MMULT({0,-1;1,0},TRANSPOSE(G55:H55)))</f>
        <v>0.96984813025976335</v>
      </c>
      <c r="J55">
        <v>-0.24371008233481273</v>
      </c>
      <c r="K55">
        <f t="shared" si="7"/>
        <v>24.280240651298836</v>
      </c>
      <c r="L55">
        <f t="shared" si="7"/>
        <v>62.612449588326022</v>
      </c>
      <c r="M55">
        <f t="shared" si="8"/>
        <v>14.581759348701201</v>
      </c>
      <c r="N55">
        <f t="shared" si="8"/>
        <v>65.049550411674147</v>
      </c>
    </row>
    <row r="56" spans="1:14" x14ac:dyDescent="0.15">
      <c r="A56">
        <f t="shared" si="10"/>
        <v>5.1999999999999957</v>
      </c>
      <c r="B56">
        <f t="shared" si="9"/>
        <v>18.928000000000019</v>
      </c>
      <c r="C56">
        <f t="shared" si="1"/>
        <v>61.728000000000087</v>
      </c>
      <c r="D56">
        <f t="shared" si="2"/>
        <v>-4.6800000000000308</v>
      </c>
      <c r="E56">
        <f t="shared" si="3"/>
        <v>-20.680000000000032</v>
      </c>
      <c r="F56">
        <f t="shared" si="4"/>
        <v>21.202943191925069</v>
      </c>
      <c r="G56">
        <f t="shared" si="5"/>
        <v>-0.22072407390038012</v>
      </c>
      <c r="H56">
        <f t="shared" si="6"/>
        <v>-0.97533629236321329</v>
      </c>
      <c r="I56">
        <f t="array" ref="I56:J56">TRANSPOSE(MMULT({0,-1;1,0},TRANSPOSE(G56:H56)))</f>
        <v>0.97533629236321329</v>
      </c>
      <c r="J56">
        <v>-0.22072407390038012</v>
      </c>
      <c r="K56">
        <f t="shared" si="7"/>
        <v>23.804681461816084</v>
      </c>
      <c r="L56">
        <f t="shared" si="7"/>
        <v>60.624379630498183</v>
      </c>
      <c r="M56">
        <f t="shared" si="8"/>
        <v>14.051318538183953</v>
      </c>
      <c r="N56">
        <f t="shared" si="8"/>
        <v>62.831620369501991</v>
      </c>
    </row>
    <row r="57" spans="1:14" x14ac:dyDescent="0.15">
      <c r="A57">
        <f t="shared" si="10"/>
        <v>5.2999999999999954</v>
      </c>
      <c r="B57">
        <f t="shared" si="9"/>
        <v>18.497000000000018</v>
      </c>
      <c r="C57">
        <f t="shared" si="1"/>
        <v>59.697000000000088</v>
      </c>
      <c r="D57">
        <f t="shared" si="2"/>
        <v>-3.9300000000000361</v>
      </c>
      <c r="E57">
        <f t="shared" si="3"/>
        <v>-19.930000000000035</v>
      </c>
      <c r="F57">
        <f t="shared" si="4"/>
        <v>20.313783497911011</v>
      </c>
      <c r="G57">
        <f t="shared" si="5"/>
        <v>-0.19346469850897946</v>
      </c>
      <c r="H57">
        <f t="shared" si="6"/>
        <v>-0.98110723696792168</v>
      </c>
      <c r="I57">
        <f t="array" ref="I57:J57">TRANSPOSE(MMULT({0,-1;1,0},TRANSPOSE(G57:H57)))</f>
        <v>0.98110723696792168</v>
      </c>
      <c r="J57">
        <v>-0.19346469850897946</v>
      </c>
      <c r="K57">
        <f t="shared" si="7"/>
        <v>23.402536184839626</v>
      </c>
      <c r="L57">
        <f t="shared" si="7"/>
        <v>58.729676507455189</v>
      </c>
      <c r="M57">
        <f t="shared" si="8"/>
        <v>13.591463815160409</v>
      </c>
      <c r="N57">
        <f t="shared" si="8"/>
        <v>60.664323492544987</v>
      </c>
    </row>
    <row r="58" spans="1:14" x14ac:dyDescent="0.15">
      <c r="A58">
        <f t="shared" si="10"/>
        <v>5.399999999999995</v>
      </c>
      <c r="B58">
        <f t="shared" si="9"/>
        <v>18.144000000000016</v>
      </c>
      <c r="C58">
        <f t="shared" si="1"/>
        <v>57.744000000000099</v>
      </c>
      <c r="D58">
        <f t="shared" si="2"/>
        <v>-3.1200000000000419</v>
      </c>
      <c r="E58">
        <f t="shared" si="3"/>
        <v>-19.12000000000004</v>
      </c>
      <c r="F58">
        <f t="shared" si="4"/>
        <v>19.372888272015658</v>
      </c>
      <c r="G58">
        <f t="shared" si="5"/>
        <v>-0.16104981127191628</v>
      </c>
      <c r="H58">
        <f t="shared" si="6"/>
        <v>-0.98694627933301415</v>
      </c>
      <c r="I58">
        <f t="array" ref="I58:J58">TRANSPOSE(MMULT({0,-1;1,0},TRANSPOSE(G58:H58)))</f>
        <v>0.98694627933301415</v>
      </c>
      <c r="J58">
        <v>-0.16104981127191628</v>
      </c>
      <c r="K58">
        <f t="shared" si="7"/>
        <v>23.078731396665088</v>
      </c>
      <c r="L58">
        <f t="shared" si="7"/>
        <v>56.938750943640521</v>
      </c>
      <c r="M58">
        <f t="shared" si="8"/>
        <v>13.209268603334944</v>
      </c>
      <c r="N58">
        <f t="shared" si="8"/>
        <v>58.549249056359677</v>
      </c>
    </row>
    <row r="59" spans="1:14" x14ac:dyDescent="0.15">
      <c r="A59">
        <f t="shared" si="10"/>
        <v>5.4999999999999947</v>
      </c>
      <c r="B59">
        <f t="shared" si="9"/>
        <v>17.875000000000014</v>
      </c>
      <c r="C59">
        <f t="shared" si="1"/>
        <v>55.875000000000099</v>
      </c>
      <c r="D59">
        <f t="shared" si="2"/>
        <v>-2.250000000000048</v>
      </c>
      <c r="E59">
        <f t="shared" si="3"/>
        <v>-18.25000000000005</v>
      </c>
      <c r="F59">
        <f t="shared" si="4"/>
        <v>18.388175548433349</v>
      </c>
      <c r="G59">
        <f t="shared" si="5"/>
        <v>-0.12236124209678569</v>
      </c>
      <c r="H59">
        <f t="shared" si="6"/>
        <v>-0.99248563034057657</v>
      </c>
      <c r="I59">
        <f t="array" ref="I59:J59">TRANSPOSE(MMULT({0,-1;1,0},TRANSPOSE(G59:H59)))</f>
        <v>0.99248563034057657</v>
      </c>
      <c r="J59">
        <v>-0.12236124209678569</v>
      </c>
      <c r="K59">
        <f t="shared" si="7"/>
        <v>22.837428151702898</v>
      </c>
      <c r="L59">
        <f t="shared" si="7"/>
        <v>55.263193789516173</v>
      </c>
      <c r="M59">
        <f t="shared" si="8"/>
        <v>12.91257184829713</v>
      </c>
      <c r="N59">
        <f t="shared" si="8"/>
        <v>56.486806210484026</v>
      </c>
    </row>
    <row r="60" spans="1:14" x14ac:dyDescent="0.15">
      <c r="A60">
        <f t="shared" si="10"/>
        <v>5.5999999999999943</v>
      </c>
      <c r="B60">
        <f t="shared" si="9"/>
        <v>17.696000000000009</v>
      </c>
      <c r="C60">
        <f t="shared" si="1"/>
        <v>54.096000000000096</v>
      </c>
      <c r="D60">
        <f t="shared" si="2"/>
        <v>-1.3200000000000545</v>
      </c>
      <c r="E60">
        <f t="shared" si="3"/>
        <v>-17.320000000000054</v>
      </c>
      <c r="F60">
        <f t="shared" si="4"/>
        <v>17.370227402080896</v>
      </c>
      <c r="G60">
        <f t="shared" si="5"/>
        <v>-7.5992096674676976E-2</v>
      </c>
      <c r="H60">
        <f t="shared" si="6"/>
        <v>-0.99710842000405675</v>
      </c>
      <c r="I60">
        <f t="array" ref="I60:J60">TRANSPOSE(MMULT({0,-1;1,0},TRANSPOSE(G60:H60)))</f>
        <v>0.99710842000405675</v>
      </c>
      <c r="J60">
        <v>-7.5992096674676976E-2</v>
      </c>
      <c r="K60">
        <f t="shared" si="7"/>
        <v>22.681542100020295</v>
      </c>
      <c r="L60">
        <f t="shared" si="7"/>
        <v>53.716039516626708</v>
      </c>
      <c r="M60">
        <f t="shared" si="8"/>
        <v>12.710457899979724</v>
      </c>
      <c r="N60">
        <f t="shared" si="8"/>
        <v>54.475960483373484</v>
      </c>
    </row>
    <row r="61" spans="1:14" x14ac:dyDescent="0.15">
      <c r="A61">
        <f t="shared" si="10"/>
        <v>5.699999999999994</v>
      </c>
      <c r="B61">
        <f t="shared" si="9"/>
        <v>17.613</v>
      </c>
      <c r="C61">
        <f t="shared" si="1"/>
        <v>52.413000000000096</v>
      </c>
      <c r="D61">
        <f t="shared" si="2"/>
        <v>-0.33000000000006224</v>
      </c>
      <c r="E61">
        <f t="shared" si="3"/>
        <v>-16.330000000000062</v>
      </c>
      <c r="F61">
        <f t="shared" si="4"/>
        <v>16.333334013605494</v>
      </c>
      <c r="G61">
        <f t="shared" si="5"/>
        <v>-2.0204080791170725E-2</v>
      </c>
      <c r="H61">
        <f t="shared" si="6"/>
        <v>-0.99979587672653636</v>
      </c>
      <c r="I61">
        <f t="array" ref="I61:J61">TRANSPOSE(MMULT({0,-1;1,0},TRANSPOSE(G61:H61)))</f>
        <v>0.99979587672653636</v>
      </c>
      <c r="J61">
        <v>-2.0204080791170725E-2</v>
      </c>
      <c r="K61">
        <f t="shared" si="7"/>
        <v>22.611979383632679</v>
      </c>
      <c r="L61">
        <f t="shared" si="7"/>
        <v>52.311979596044246</v>
      </c>
      <c r="M61">
        <f t="shared" si="8"/>
        <v>12.614020616367318</v>
      </c>
      <c r="N61">
        <f t="shared" si="8"/>
        <v>52.514020403955946</v>
      </c>
    </row>
    <row r="62" spans="1:14" x14ac:dyDescent="0.15">
      <c r="A62">
        <f t="shared" si="10"/>
        <v>5.7999999999999936</v>
      </c>
      <c r="B62">
        <f t="shared" si="9"/>
        <v>17.631999999999994</v>
      </c>
      <c r="C62">
        <f t="shared" si="1"/>
        <v>50.832000000000093</v>
      </c>
      <c r="D62">
        <f t="shared" si="2"/>
        <v>0.71999999999993136</v>
      </c>
      <c r="E62">
        <f t="shared" si="3"/>
        <v>-15.280000000000069</v>
      </c>
      <c r="F62">
        <f t="shared" si="4"/>
        <v>15.296953945148752</v>
      </c>
      <c r="G62">
        <f t="shared" si="5"/>
        <v>4.7068194268066736E-2</v>
      </c>
      <c r="H62">
        <f t="shared" si="6"/>
        <v>-0.99889167835573822</v>
      </c>
      <c r="I62">
        <f t="array" ref="I62:J62">TRANSPOSE(MMULT({0,-1;1,0},TRANSPOSE(G62:H62)))</f>
        <v>0.99889167835573822</v>
      </c>
      <c r="J62">
        <v>4.7068194268066736E-2</v>
      </c>
      <c r="K62">
        <f t="shared" si="7"/>
        <v>22.626458391778684</v>
      </c>
      <c r="L62">
        <f t="shared" si="7"/>
        <v>51.067340971340428</v>
      </c>
      <c r="M62">
        <f t="shared" si="8"/>
        <v>12.637541608221303</v>
      </c>
      <c r="N62">
        <f t="shared" si="8"/>
        <v>50.596659028659758</v>
      </c>
    </row>
    <row r="63" spans="1:14" x14ac:dyDescent="0.15">
      <c r="A63">
        <f t="shared" si="10"/>
        <v>5.8999999999999932</v>
      </c>
      <c r="B63">
        <f t="shared" si="9"/>
        <v>17.75899999999999</v>
      </c>
      <c r="C63">
        <f t="shared" si="1"/>
        <v>49.359000000000094</v>
      </c>
      <c r="D63">
        <f t="shared" si="2"/>
        <v>1.8299999999999237</v>
      </c>
      <c r="E63">
        <f t="shared" si="3"/>
        <v>-14.170000000000076</v>
      </c>
      <c r="F63">
        <f t="shared" si="4"/>
        <v>14.287680007615018</v>
      </c>
      <c r="G63">
        <f t="shared" si="5"/>
        <v>0.12808237579681053</v>
      </c>
      <c r="H63">
        <f t="shared" si="6"/>
        <v>-0.99176353280923002</v>
      </c>
      <c r="I63">
        <f t="array" ref="I63:J63">TRANSPOSE(MMULT({0,-1;1,0},TRANSPOSE(G63:H63)))</f>
        <v>0.99176353280923002</v>
      </c>
      <c r="J63">
        <v>0.12808237579681053</v>
      </c>
      <c r="K63">
        <f t="shared" si="7"/>
        <v>22.717817664046141</v>
      </c>
      <c r="L63">
        <f t="shared" si="7"/>
        <v>49.999411878984148</v>
      </c>
      <c r="M63">
        <f t="shared" si="8"/>
        <v>12.800182335953838</v>
      </c>
      <c r="N63">
        <f t="shared" si="8"/>
        <v>48.71858812101604</v>
      </c>
    </row>
    <row r="64" spans="1:14" x14ac:dyDescent="0.15">
      <c r="A64">
        <f t="shared" si="10"/>
        <v>5.9999999999999929</v>
      </c>
      <c r="B64">
        <f t="shared" si="9"/>
        <v>17.999999999999979</v>
      </c>
      <c r="C64">
        <f t="shared" si="1"/>
        <v>48.000000000000092</v>
      </c>
      <c r="D64">
        <f t="shared" si="2"/>
        <v>2.9999999999999147</v>
      </c>
      <c r="E64">
        <f t="shared" si="3"/>
        <v>-13.000000000000085</v>
      </c>
      <c r="F64">
        <f t="shared" si="4"/>
        <v>13.341664064126398</v>
      </c>
      <c r="G64">
        <f t="shared" si="5"/>
        <v>0.22485950669875096</v>
      </c>
      <c r="H64">
        <f t="shared" si="6"/>
        <v>-0.97439119569462151</v>
      </c>
      <c r="I64">
        <f t="array" ref="I64:J64">TRANSPOSE(MMULT({0,-1;1,0},TRANSPOSE(G64:H64)))</f>
        <v>0.97439119569462151</v>
      </c>
      <c r="J64">
        <v>0.22485950669875096</v>
      </c>
      <c r="K64">
        <f t="shared" si="7"/>
        <v>22.871955978473085</v>
      </c>
      <c r="L64">
        <f t="shared" si="7"/>
        <v>49.124297533493845</v>
      </c>
      <c r="M64">
        <f t="shared" si="8"/>
        <v>13.128044021526872</v>
      </c>
      <c r="N64">
        <f t="shared" si="8"/>
        <v>46.87570246650634</v>
      </c>
    </row>
    <row r="65" spans="1:14" x14ac:dyDescent="0.15">
      <c r="A65">
        <f t="shared" si="10"/>
        <v>6.0999999999999925</v>
      </c>
      <c r="B65">
        <f t="shared" si="9"/>
        <v>18.360999999999969</v>
      </c>
      <c r="C65">
        <f t="shared" si="1"/>
        <v>46.761000000000088</v>
      </c>
      <c r="D65">
        <f t="shared" si="2"/>
        <v>4.2299999999999081</v>
      </c>
      <c r="E65">
        <f t="shared" si="3"/>
        <v>-11.770000000000092</v>
      </c>
      <c r="F65">
        <f t="shared" si="4"/>
        <v>12.507030023151035</v>
      </c>
      <c r="G65">
        <f t="shared" si="5"/>
        <v>0.33820979018759861</v>
      </c>
      <c r="H65">
        <f t="shared" si="6"/>
        <v>-0.94107074007284941</v>
      </c>
      <c r="I65">
        <f t="array" ref="I65:J65">TRANSPOSE(MMULT({0,-1;1,0},TRANSPOSE(G65:H65)))</f>
        <v>0.94107074007284941</v>
      </c>
      <c r="J65">
        <v>0.33820979018759861</v>
      </c>
      <c r="K65">
        <f t="shared" si="7"/>
        <v>23.066353700364218</v>
      </c>
      <c r="L65">
        <f t="shared" si="7"/>
        <v>48.452048950938078</v>
      </c>
      <c r="M65">
        <f t="shared" si="8"/>
        <v>13.655646299635722</v>
      </c>
      <c r="N65">
        <f t="shared" si="8"/>
        <v>45.069951049062098</v>
      </c>
    </row>
    <row r="66" spans="1:14" x14ac:dyDescent="0.15">
      <c r="A66">
        <f t="shared" si="10"/>
        <v>6.1999999999999922</v>
      </c>
      <c r="B66">
        <f t="shared" si="9"/>
        <v>18.847999999999956</v>
      </c>
      <c r="C66">
        <f t="shared" si="1"/>
        <v>45.648000000000081</v>
      </c>
      <c r="D66">
        <f t="shared" si="2"/>
        <v>5.5199999999998965</v>
      </c>
      <c r="E66">
        <f t="shared" si="3"/>
        <v>-10.480000000000103</v>
      </c>
      <c r="F66">
        <f t="shared" si="4"/>
        <v>11.844863865828135</v>
      </c>
      <c r="G66">
        <f t="shared" si="5"/>
        <v>0.46602477348218685</v>
      </c>
      <c r="H66">
        <f t="shared" si="6"/>
        <v>-0.88477167139374235</v>
      </c>
      <c r="I66">
        <f t="array" ref="I66:J66">TRANSPOSE(MMULT({0,-1;1,0},TRANSPOSE(G66:H66)))</f>
        <v>0.88477167139374235</v>
      </c>
      <c r="J66">
        <v>0.46602477348218685</v>
      </c>
      <c r="K66">
        <f t="shared" si="7"/>
        <v>23.271858356968668</v>
      </c>
      <c r="L66">
        <f t="shared" si="7"/>
        <v>47.978123867411014</v>
      </c>
      <c r="M66">
        <f t="shared" si="8"/>
        <v>14.424141643031245</v>
      </c>
      <c r="N66">
        <f t="shared" si="8"/>
        <v>43.317876132589149</v>
      </c>
    </row>
    <row r="67" spans="1:14" x14ac:dyDescent="0.15">
      <c r="A67">
        <f t="shared" si="10"/>
        <v>6.2999999999999918</v>
      </c>
      <c r="B67">
        <f t="shared" si="9"/>
        <v>19.466999999999949</v>
      </c>
      <c r="C67">
        <f t="shared" si="1"/>
        <v>44.66700000000008</v>
      </c>
      <c r="D67">
        <f t="shared" si="2"/>
        <v>6.8699999999998873</v>
      </c>
      <c r="E67">
        <f t="shared" si="3"/>
        <v>-9.1300000000001127</v>
      </c>
      <c r="F67">
        <f t="shared" si="4"/>
        <v>11.426014178181319</v>
      </c>
      <c r="G67">
        <f t="shared" si="5"/>
        <v>0.60125953747883298</v>
      </c>
      <c r="H67">
        <f t="shared" si="6"/>
        <v>-0.79905379580522595</v>
      </c>
      <c r="I67">
        <f t="array" ref="I67:J67">TRANSPOSE(MMULT({0,-1;1,0},TRANSPOSE(G67:H67)))</f>
        <v>0.79905379580522595</v>
      </c>
      <c r="J67">
        <v>0.60125953747883298</v>
      </c>
      <c r="K67">
        <f t="shared" si="7"/>
        <v>23.462268979026078</v>
      </c>
      <c r="L67">
        <f t="shared" si="7"/>
        <v>47.673297687394246</v>
      </c>
      <c r="M67">
        <f t="shared" si="8"/>
        <v>15.47173102097382</v>
      </c>
      <c r="N67">
        <f t="shared" si="8"/>
        <v>41.660702312605913</v>
      </c>
    </row>
    <row r="68" spans="1:14" x14ac:dyDescent="0.15">
      <c r="A68">
        <f t="shared" si="10"/>
        <v>6.3999999999999915</v>
      </c>
      <c r="B68">
        <f t="shared" si="9"/>
        <v>20.223999999999929</v>
      </c>
      <c r="C68">
        <f t="shared" si="1"/>
        <v>43.824000000000069</v>
      </c>
      <c r="D68">
        <f t="shared" si="2"/>
        <v>8.2799999999998768</v>
      </c>
      <c r="E68">
        <f t="shared" si="3"/>
        <v>-7.7200000000001232</v>
      </c>
      <c r="F68">
        <f t="shared" si="4"/>
        <v>11.320636024535011</v>
      </c>
      <c r="G68">
        <f t="shared" si="5"/>
        <v>0.73140766844325544</v>
      </c>
      <c r="H68">
        <f t="shared" si="6"/>
        <v>-0.68194048313793554</v>
      </c>
      <c r="I68">
        <f t="array" ref="I68:J68">TRANSPOSE(MMULT({0,-1;1,0},TRANSPOSE(G68:H68)))</f>
        <v>0.68194048313793554</v>
      </c>
      <c r="J68">
        <v>0.73140766844325544</v>
      </c>
      <c r="K68">
        <f t="shared" si="7"/>
        <v>23.633702415689605</v>
      </c>
      <c r="L68">
        <f t="shared" si="7"/>
        <v>47.481038342216344</v>
      </c>
      <c r="M68">
        <f t="shared" si="8"/>
        <v>16.814297584310253</v>
      </c>
      <c r="N68">
        <f t="shared" si="8"/>
        <v>40.166961657783794</v>
      </c>
    </row>
    <row r="69" spans="1:14" x14ac:dyDescent="0.15">
      <c r="A69">
        <f t="shared" si="10"/>
        <v>6.4999999999999911</v>
      </c>
      <c r="B69">
        <f t="shared" si="9"/>
        <v>21.124999999999911</v>
      </c>
      <c r="C69">
        <f t="shared" si="1"/>
        <v>43.125000000000057</v>
      </c>
      <c r="D69">
        <f t="shared" si="2"/>
        <v>9.749999999999865</v>
      </c>
      <c r="E69">
        <f t="shared" si="3"/>
        <v>-6.250000000000135</v>
      </c>
      <c r="F69">
        <f t="shared" si="4"/>
        <v>11.581234821900429</v>
      </c>
      <c r="G69">
        <f t="shared" si="5"/>
        <v>0.84187913896386513</v>
      </c>
      <c r="H69">
        <f t="shared" si="6"/>
        <v>-0.53966611472044546</v>
      </c>
      <c r="I69">
        <f t="array" ref="I69:J69">TRANSPOSE(MMULT({0,-1;1,0},TRANSPOSE(G69:H69)))</f>
        <v>0.53966611472044546</v>
      </c>
      <c r="J69">
        <v>0.84187913896386513</v>
      </c>
      <c r="K69">
        <f t="shared" si="7"/>
        <v>23.823330573602139</v>
      </c>
      <c r="L69">
        <f t="shared" si="7"/>
        <v>47.334395694819385</v>
      </c>
      <c r="M69">
        <f t="shared" si="8"/>
        <v>18.426669426397684</v>
      </c>
      <c r="N69">
        <f t="shared" si="8"/>
        <v>38.915604305180729</v>
      </c>
    </row>
    <row r="70" spans="1:14" x14ac:dyDescent="0.15">
      <c r="A70">
        <f t="shared" si="10"/>
        <v>6.5999999999999908</v>
      </c>
      <c r="B70">
        <f t="shared" si="9"/>
        <v>22.175999999999895</v>
      </c>
      <c r="C70">
        <f t="shared" ref="C70:C95" si="11">((A70-$B$3)^3-$C$3^2*(A70-$B$3))+90</f>
        <v>42.576000000000036</v>
      </c>
      <c r="D70">
        <f t="shared" ref="D70:D95" si="12">3*(A70-$B$2)^2-$C$2^2</f>
        <v>11.279999999999855</v>
      </c>
      <c r="E70">
        <f t="shared" ref="E70:E95" si="13">3*(A70-$B$3)^2-$C$3^2</f>
        <v>-4.7200000000001445</v>
      </c>
      <c r="F70">
        <f t="shared" ref="F70:F95" si="14">SQRT(D70^2+E70^2)</f>
        <v>12.227706244426962</v>
      </c>
      <c r="G70">
        <f t="shared" ref="G70:G95" si="15">D70/F70</f>
        <v>0.92249517403486503</v>
      </c>
      <c r="H70">
        <f t="shared" ref="H70:H95" si="16">E70/F70</f>
        <v>-0.38600861892240707</v>
      </c>
      <c r="I70">
        <f t="array" ref="I70:J70">TRANSPOSE(MMULT({0,-1;1,0},TRANSPOSE(G70:H70)))</f>
        <v>0.38600861892240707</v>
      </c>
      <c r="J70">
        <v>0.92249517403486503</v>
      </c>
      <c r="K70">
        <f t="shared" ref="K70:L95" si="17">B70+I70*$K$2</f>
        <v>24.10604309461193</v>
      </c>
      <c r="L70">
        <f t="shared" si="17"/>
        <v>47.188475870174358</v>
      </c>
      <c r="M70">
        <f t="shared" ref="M70:N95" si="18">B70-I70*$K$2</f>
        <v>20.24595690538786</v>
      </c>
      <c r="N70">
        <f t="shared" si="18"/>
        <v>37.963524129825714</v>
      </c>
    </row>
    <row r="71" spans="1:14" x14ac:dyDescent="0.15">
      <c r="A71">
        <f t="shared" si="10"/>
        <v>6.6999999999999904</v>
      </c>
      <c r="B71">
        <f t="shared" ref="B71:B95" si="19">(A71-$B$2)^3-$C$2^2*(A71-$B$2)+28</f>
        <v>23.382999999999878</v>
      </c>
      <c r="C71">
        <f t="shared" si="11"/>
        <v>42.183000000000035</v>
      </c>
      <c r="D71">
        <f t="shared" si="12"/>
        <v>12.869999999999845</v>
      </c>
      <c r="E71">
        <f t="shared" si="13"/>
        <v>-3.1300000000001553</v>
      </c>
      <c r="F71">
        <f t="shared" si="14"/>
        <v>13.245142505839526</v>
      </c>
      <c r="G71">
        <f t="shared" si="15"/>
        <v>0.97167697473437609</v>
      </c>
      <c r="H71">
        <f t="shared" si="16"/>
        <v>-0.23631304824543783</v>
      </c>
      <c r="I71">
        <f t="array" ref="I71:J71">TRANSPOSE(MMULT({0,-1;1,0},TRANSPOSE(G71:H71)))</f>
        <v>0.23631304824543783</v>
      </c>
      <c r="J71">
        <v>0.97167697473437609</v>
      </c>
      <c r="K71">
        <f t="shared" si="17"/>
        <v>24.564565241227069</v>
      </c>
      <c r="L71">
        <f t="shared" si="17"/>
        <v>47.041384873671916</v>
      </c>
      <c r="M71">
        <f t="shared" si="18"/>
        <v>22.201434758772688</v>
      </c>
      <c r="N71">
        <f t="shared" si="18"/>
        <v>37.324615126328155</v>
      </c>
    </row>
    <row r="72" spans="1:14" x14ac:dyDescent="0.15">
      <c r="A72">
        <f t="shared" si="10"/>
        <v>6.7999999999999901</v>
      </c>
      <c r="B72">
        <f t="shared" si="19"/>
        <v>24.751999999999853</v>
      </c>
      <c r="C72">
        <f t="shared" si="11"/>
        <v>41.952000000000019</v>
      </c>
      <c r="D72">
        <f t="shared" si="12"/>
        <v>14.519999999999833</v>
      </c>
      <c r="E72">
        <f t="shared" si="13"/>
        <v>-1.4800000000001674</v>
      </c>
      <c r="F72">
        <f t="shared" si="14"/>
        <v>14.595232098188628</v>
      </c>
      <c r="G72">
        <f t="shared" si="15"/>
        <v>0.99484543324267294</v>
      </c>
      <c r="H72">
        <f t="shared" si="16"/>
        <v>-0.10140297804403164</v>
      </c>
      <c r="I72">
        <f t="array" ref="I72:J72">TRANSPOSE(MMULT({0,-1;1,0},TRANSPOSE(G72:H72)))</f>
        <v>0.10140297804403164</v>
      </c>
      <c r="J72">
        <v>0.99484543324267294</v>
      </c>
      <c r="K72">
        <f t="shared" si="17"/>
        <v>25.259014890220012</v>
      </c>
      <c r="L72">
        <f t="shared" si="17"/>
        <v>46.926227166213387</v>
      </c>
      <c r="M72">
        <f t="shared" si="18"/>
        <v>24.244985109779694</v>
      </c>
      <c r="N72">
        <f t="shared" si="18"/>
        <v>36.977772833786652</v>
      </c>
    </row>
    <row r="73" spans="1:14" x14ac:dyDescent="0.15">
      <c r="A73">
        <f t="shared" si="10"/>
        <v>6.8999999999999897</v>
      </c>
      <c r="B73">
        <f t="shared" si="19"/>
        <v>26.288999999999831</v>
      </c>
      <c r="C73">
        <f t="shared" si="11"/>
        <v>41.888999999999996</v>
      </c>
      <c r="D73">
        <f t="shared" si="12"/>
        <v>16.229999999999819</v>
      </c>
      <c r="E73">
        <f t="shared" si="13"/>
        <v>0.22999999999981924</v>
      </c>
      <c r="F73">
        <f t="shared" si="14"/>
        <v>16.231629616276798</v>
      </c>
      <c r="G73">
        <f t="shared" si="15"/>
        <v>0.99989960242344711</v>
      </c>
      <c r="H73">
        <f t="shared" si="16"/>
        <v>1.4169864975798807E-2</v>
      </c>
      <c r="I73">
        <f t="array" ref="I73:J73">TRANSPOSE(MMULT({0,-1;1,0},TRANSPOSE(G73:H73)))</f>
        <v>-1.4169864975798807E-2</v>
      </c>
      <c r="J73">
        <v>0.99989960242344711</v>
      </c>
      <c r="K73">
        <f t="shared" si="17"/>
        <v>26.218150675120835</v>
      </c>
      <c r="L73">
        <f t="shared" si="17"/>
        <v>46.888498012117232</v>
      </c>
      <c r="M73">
        <f t="shared" si="18"/>
        <v>26.359849324878827</v>
      </c>
      <c r="N73">
        <f t="shared" si="18"/>
        <v>36.88950198788276</v>
      </c>
    </row>
    <row r="74" spans="1:14" x14ac:dyDescent="0.15">
      <c r="A74">
        <f t="shared" si="10"/>
        <v>6.9999999999999893</v>
      </c>
      <c r="B74">
        <f t="shared" si="19"/>
        <v>27.999999999999808</v>
      </c>
      <c r="C74">
        <f t="shared" si="11"/>
        <v>41.999999999999986</v>
      </c>
      <c r="D74">
        <f t="shared" si="12"/>
        <v>17.999999999999808</v>
      </c>
      <c r="E74">
        <f t="shared" si="13"/>
        <v>1.9999999999998082</v>
      </c>
      <c r="F74">
        <f t="shared" si="14"/>
        <v>18.110770276274621</v>
      </c>
      <c r="G74">
        <f t="shared" si="15"/>
        <v>0.9938837346736199</v>
      </c>
      <c r="H74">
        <f t="shared" si="16"/>
        <v>0.11043152607483725</v>
      </c>
      <c r="I74">
        <f t="array" ref="I74:J74">TRANSPOSE(MMULT({0,-1;1,0},TRANSPOSE(G74:H74)))</f>
        <v>-0.11043152607483725</v>
      </c>
      <c r="J74">
        <v>0.9938837346736199</v>
      </c>
      <c r="K74">
        <f t="shared" si="17"/>
        <v>27.447842369625622</v>
      </c>
      <c r="L74">
        <f t="shared" si="17"/>
        <v>46.969418673368082</v>
      </c>
      <c r="M74">
        <f t="shared" si="18"/>
        <v>28.552157630373994</v>
      </c>
      <c r="N74">
        <f t="shared" si="18"/>
        <v>37.030581326631889</v>
      </c>
    </row>
    <row r="75" spans="1:14" x14ac:dyDescent="0.15">
      <c r="A75">
        <f t="shared" si="10"/>
        <v>7.099999999999989</v>
      </c>
      <c r="B75">
        <f t="shared" si="19"/>
        <v>29.890999999999785</v>
      </c>
      <c r="C75">
        <f t="shared" si="11"/>
        <v>42.290999999999954</v>
      </c>
      <c r="D75">
        <f t="shared" si="12"/>
        <v>19.829999999999796</v>
      </c>
      <c r="E75">
        <f t="shared" si="13"/>
        <v>3.8299999999997958</v>
      </c>
      <c r="F75">
        <f t="shared" si="14"/>
        <v>20.196479891307551</v>
      </c>
      <c r="G75">
        <f t="shared" si="15"/>
        <v>0.98185426899736694</v>
      </c>
      <c r="H75">
        <f t="shared" si="16"/>
        <v>0.1896370070731091</v>
      </c>
      <c r="I75">
        <f t="array" ref="I75:J75">TRANSPOSE(MMULT({0,-1;1,0},TRANSPOSE(G75:H75)))</f>
        <v>-0.1896370070731091</v>
      </c>
      <c r="J75">
        <v>0.98185426899736694</v>
      </c>
      <c r="K75">
        <f t="shared" si="17"/>
        <v>28.942814964634241</v>
      </c>
      <c r="L75">
        <f t="shared" si="17"/>
        <v>47.200271344986788</v>
      </c>
      <c r="M75">
        <f t="shared" si="18"/>
        <v>30.839185035365329</v>
      </c>
      <c r="N75">
        <f t="shared" si="18"/>
        <v>37.38172865501312</v>
      </c>
    </row>
    <row r="76" spans="1:14" x14ac:dyDescent="0.15">
      <c r="A76">
        <f t="shared" si="10"/>
        <v>7.1999999999999886</v>
      </c>
      <c r="B76">
        <f t="shared" si="19"/>
        <v>31.967999999999755</v>
      </c>
      <c r="C76">
        <f t="shared" si="11"/>
        <v>42.767999999999937</v>
      </c>
      <c r="D76">
        <f t="shared" si="12"/>
        <v>21.719999999999782</v>
      </c>
      <c r="E76">
        <f t="shared" si="13"/>
        <v>5.7199999999997821</v>
      </c>
      <c r="F76">
        <f t="shared" si="14"/>
        <v>22.460560990322307</v>
      </c>
      <c r="G76">
        <f t="shared" si="15"/>
        <v>0.9670283840799162</v>
      </c>
      <c r="H76">
        <f t="shared" si="16"/>
        <v>0.25466861680188607</v>
      </c>
      <c r="I76">
        <f t="array" ref="I76:J76">TRANSPOSE(MMULT({0,-1;1,0},TRANSPOSE(G76:H76)))</f>
        <v>-0.25466861680188607</v>
      </c>
      <c r="J76">
        <v>0.9670283840799162</v>
      </c>
      <c r="K76">
        <f t="shared" si="17"/>
        <v>30.694656915990326</v>
      </c>
      <c r="L76">
        <f t="shared" si="17"/>
        <v>47.603141920399516</v>
      </c>
      <c r="M76">
        <f t="shared" si="18"/>
        <v>33.241343084009188</v>
      </c>
      <c r="N76">
        <f t="shared" si="18"/>
        <v>37.932858079600358</v>
      </c>
    </row>
    <row r="77" spans="1:14" x14ac:dyDescent="0.15">
      <c r="A77">
        <f t="shared" si="10"/>
        <v>7.2999999999999883</v>
      </c>
      <c r="B77">
        <f t="shared" si="19"/>
        <v>34.236999999999718</v>
      </c>
      <c r="C77">
        <f t="shared" si="11"/>
        <v>43.436999999999912</v>
      </c>
      <c r="D77">
        <f t="shared" si="12"/>
        <v>23.669999999999767</v>
      </c>
      <c r="E77">
        <f t="shared" si="13"/>
        <v>7.6699999999997672</v>
      </c>
      <c r="F77">
        <f t="shared" si="14"/>
        <v>24.881675988566073</v>
      </c>
      <c r="G77">
        <f t="shared" si="15"/>
        <v>0.95130247700664905</v>
      </c>
      <c r="H77">
        <f t="shared" si="16"/>
        <v>0.30825897755136661</v>
      </c>
      <c r="I77">
        <f t="array" ref="I77:J77">TRANSPOSE(MMULT({0,-1;1,0},TRANSPOSE(G77:H77)))</f>
        <v>-0.30825897755136661</v>
      </c>
      <c r="J77">
        <v>0.95130247700664905</v>
      </c>
      <c r="K77">
        <f t="shared" si="17"/>
        <v>32.695705112242884</v>
      </c>
      <c r="L77">
        <f t="shared" si="17"/>
        <v>48.193512385033159</v>
      </c>
      <c r="M77">
        <f t="shared" si="18"/>
        <v>35.778294887756552</v>
      </c>
      <c r="N77">
        <f t="shared" si="18"/>
        <v>38.680487614966665</v>
      </c>
    </row>
    <row r="78" spans="1:14" x14ac:dyDescent="0.15">
      <c r="A78">
        <f t="shared" si="10"/>
        <v>7.3999999999999879</v>
      </c>
      <c r="B78">
        <f t="shared" si="19"/>
        <v>36.703999999999681</v>
      </c>
      <c r="C78">
        <f t="shared" si="11"/>
        <v>44.303999999999874</v>
      </c>
      <c r="D78">
        <f t="shared" si="12"/>
        <v>25.679999999999751</v>
      </c>
      <c r="E78">
        <f t="shared" si="13"/>
        <v>9.679999999999751</v>
      </c>
      <c r="F78">
        <f t="shared" si="14"/>
        <v>27.443848126674627</v>
      </c>
      <c r="G78">
        <f t="shared" si="15"/>
        <v>0.93572883370679838</v>
      </c>
      <c r="H78">
        <f t="shared" si="16"/>
        <v>0.3527202145748311</v>
      </c>
      <c r="I78">
        <f t="array" ref="I78:J78">TRANSPOSE(MMULT({0,-1;1,0},TRANSPOSE(G78:H78)))</f>
        <v>-0.3527202145748311</v>
      </c>
      <c r="J78">
        <v>0.93572883370679838</v>
      </c>
      <c r="K78">
        <f t="shared" si="17"/>
        <v>34.940398927125528</v>
      </c>
      <c r="L78">
        <f t="shared" si="17"/>
        <v>48.982644168533866</v>
      </c>
      <c r="M78">
        <f t="shared" si="18"/>
        <v>38.467601072873833</v>
      </c>
      <c r="N78">
        <f t="shared" si="18"/>
        <v>39.625355831465882</v>
      </c>
    </row>
    <row r="79" spans="1:14" x14ac:dyDescent="0.15">
      <c r="A79">
        <f t="shared" si="10"/>
        <v>7.4999999999999876</v>
      </c>
      <c r="B79">
        <f t="shared" si="19"/>
        <v>39.374999999999659</v>
      </c>
      <c r="C79">
        <f t="shared" si="11"/>
        <v>45.374999999999858</v>
      </c>
      <c r="D79">
        <f t="shared" si="12"/>
        <v>27.749999999999737</v>
      </c>
      <c r="E79">
        <f t="shared" si="13"/>
        <v>11.749999999999737</v>
      </c>
      <c r="F79">
        <f t="shared" si="14"/>
        <v>30.135112410607984</v>
      </c>
      <c r="G79">
        <f t="shared" si="15"/>
        <v>0.92085271234068289</v>
      </c>
      <c r="H79">
        <f t="shared" si="16"/>
        <v>0.38991060792803189</v>
      </c>
      <c r="I79">
        <f t="array" ref="I79:J79">TRANSPOSE(MMULT({0,-1;1,0},TRANSPOSE(G79:H79)))</f>
        <v>-0.38991060792803189</v>
      </c>
      <c r="J79">
        <v>0.92085271234068289</v>
      </c>
      <c r="K79">
        <f t="shared" si="17"/>
        <v>37.425446960359501</v>
      </c>
      <c r="L79">
        <f t="shared" si="17"/>
        <v>49.97926356170327</v>
      </c>
      <c r="M79">
        <f t="shared" si="18"/>
        <v>41.324553039639817</v>
      </c>
      <c r="N79">
        <f t="shared" si="18"/>
        <v>40.770736438296446</v>
      </c>
    </row>
    <row r="80" spans="1:14" x14ac:dyDescent="0.15">
      <c r="A80">
        <f t="shared" si="10"/>
        <v>7.5999999999999872</v>
      </c>
      <c r="B80">
        <f t="shared" si="19"/>
        <v>42.255999999999617</v>
      </c>
      <c r="C80">
        <f t="shared" si="11"/>
        <v>46.655999999999814</v>
      </c>
      <c r="D80">
        <f t="shared" si="12"/>
        <v>29.879999999999725</v>
      </c>
      <c r="E80">
        <f t="shared" si="13"/>
        <v>13.879999999999725</v>
      </c>
      <c r="F80">
        <f t="shared" si="14"/>
        <v>32.946453526896882</v>
      </c>
      <c r="G80">
        <f t="shared" si="15"/>
        <v>0.90692614231168278</v>
      </c>
      <c r="H80">
        <f t="shared" si="16"/>
        <v>0.42128965379136629</v>
      </c>
      <c r="I80">
        <f t="array" ref="I80:J80">TRANSPOSE(MMULT({0,-1;1,0},TRANSPOSE(G80:H80)))</f>
        <v>-0.42128965379136629</v>
      </c>
      <c r="J80">
        <v>0.90692614231168278</v>
      </c>
      <c r="K80">
        <f t="shared" si="17"/>
        <v>40.149551731042784</v>
      </c>
      <c r="L80">
        <f t="shared" si="17"/>
        <v>51.190630711558228</v>
      </c>
      <c r="M80">
        <f t="shared" si="18"/>
        <v>44.362448268956449</v>
      </c>
      <c r="N80">
        <f t="shared" si="18"/>
        <v>42.1213692884414</v>
      </c>
    </row>
    <row r="81" spans="1:14" x14ac:dyDescent="0.15">
      <c r="A81">
        <f t="shared" si="10"/>
        <v>7.6999999999999869</v>
      </c>
      <c r="B81">
        <f t="shared" si="19"/>
        <v>45.352999999999582</v>
      </c>
      <c r="C81">
        <f t="shared" si="11"/>
        <v>48.152999999999793</v>
      </c>
      <c r="D81">
        <f t="shared" si="12"/>
        <v>32.069999999999709</v>
      </c>
      <c r="E81">
        <f t="shared" si="13"/>
        <v>16.069999999999709</v>
      </c>
      <c r="F81">
        <f t="shared" si="14"/>
        <v>35.871016155107341</v>
      </c>
      <c r="G81">
        <f t="shared" si="15"/>
        <v>0.89403656314970492</v>
      </c>
      <c r="H81">
        <f t="shared" si="16"/>
        <v>0.44799399968243303</v>
      </c>
      <c r="I81">
        <f t="array" ref="I81:J81">TRANSPOSE(MMULT({0,-1;1,0},TRANSPOSE(G81:H81)))</f>
        <v>-0.44799399968243303</v>
      </c>
      <c r="J81">
        <v>0.89403656314970492</v>
      </c>
      <c r="K81">
        <f t="shared" si="17"/>
        <v>43.113030001587418</v>
      </c>
      <c r="L81">
        <f t="shared" si="17"/>
        <v>52.623182815748315</v>
      </c>
      <c r="M81">
        <f t="shared" si="18"/>
        <v>47.592969998411746</v>
      </c>
      <c r="N81">
        <f t="shared" si="18"/>
        <v>43.68281718425127</v>
      </c>
    </row>
    <row r="82" spans="1:14" x14ac:dyDescent="0.15">
      <c r="A82">
        <f t="shared" si="10"/>
        <v>7.7999999999999865</v>
      </c>
      <c r="B82">
        <f t="shared" si="19"/>
        <v>48.671999999999542</v>
      </c>
      <c r="C82">
        <f t="shared" si="11"/>
        <v>49.871999999999758</v>
      </c>
      <c r="D82">
        <f t="shared" si="12"/>
        <v>34.319999999999695</v>
      </c>
      <c r="E82">
        <f t="shared" si="13"/>
        <v>18.319999999999695</v>
      </c>
      <c r="F82">
        <f t="shared" si="14"/>
        <v>38.90353197333075</v>
      </c>
      <c r="G82">
        <f t="shared" si="15"/>
        <v>0.88218211198733398</v>
      </c>
      <c r="H82">
        <f t="shared" si="16"/>
        <v>0.4709084001051233</v>
      </c>
      <c r="I82">
        <f t="array" ref="I82:J82">TRANSPOSE(MMULT({0,-1;1,0},TRANSPOSE(G82:H82)))</f>
        <v>-0.4709084001051233</v>
      </c>
      <c r="J82">
        <v>0.88218211198733398</v>
      </c>
      <c r="K82">
        <f t="shared" si="17"/>
        <v>46.317457999473923</v>
      </c>
      <c r="L82">
        <f t="shared" si="17"/>
        <v>54.282910559936425</v>
      </c>
      <c r="M82">
        <f t="shared" si="18"/>
        <v>51.026542000525161</v>
      </c>
      <c r="N82">
        <f t="shared" si="18"/>
        <v>45.461089440063091</v>
      </c>
    </row>
    <row r="83" spans="1:14" x14ac:dyDescent="0.15">
      <c r="A83">
        <f t="shared" si="10"/>
        <v>7.8999999999999861</v>
      </c>
      <c r="B83">
        <f t="shared" si="19"/>
        <v>52.218999999999497</v>
      </c>
      <c r="C83">
        <f t="shared" si="11"/>
        <v>51.818999999999711</v>
      </c>
      <c r="D83">
        <f t="shared" si="12"/>
        <v>36.629999999999676</v>
      </c>
      <c r="E83">
        <f t="shared" si="13"/>
        <v>20.629999999999676</v>
      </c>
      <c r="F83">
        <f t="shared" si="14"/>
        <v>42.039907231105573</v>
      </c>
      <c r="G83">
        <f t="shared" si="15"/>
        <v>0.87131495791924407</v>
      </c>
      <c r="H83">
        <f t="shared" si="16"/>
        <v>0.49072420370936065</v>
      </c>
      <c r="I83">
        <f t="array" ref="I83:J83">TRANSPOSE(MMULT({0,-1;1,0},TRANSPOSE(G83:H83)))</f>
        <v>-0.49072420370936065</v>
      </c>
      <c r="J83">
        <v>0.87131495791924407</v>
      </c>
      <c r="K83">
        <f t="shared" si="17"/>
        <v>49.765378981452692</v>
      </c>
      <c r="L83">
        <f t="shared" si="17"/>
        <v>56.175574789595935</v>
      </c>
      <c r="M83">
        <f t="shared" si="18"/>
        <v>54.672621018546302</v>
      </c>
      <c r="N83">
        <f t="shared" si="18"/>
        <v>47.462425210403488</v>
      </c>
    </row>
    <row r="84" spans="1:14" x14ac:dyDescent="0.15">
      <c r="A84">
        <f t="shared" si="10"/>
        <v>7.9999999999999858</v>
      </c>
      <c r="B84">
        <f t="shared" si="19"/>
        <v>55.999999999999446</v>
      </c>
      <c r="C84">
        <f t="shared" si="11"/>
        <v>53.999999999999673</v>
      </c>
      <c r="D84">
        <f t="shared" si="12"/>
        <v>38.999999999999659</v>
      </c>
      <c r="E84">
        <f t="shared" si="13"/>
        <v>22.999999999999659</v>
      </c>
      <c r="F84">
        <f t="shared" si="14"/>
        <v>45.276925690686618</v>
      </c>
      <c r="G84">
        <f t="shared" si="15"/>
        <v>0.86136590338380437</v>
      </c>
      <c r="H84">
        <f t="shared" si="16"/>
        <v>0.50798501994429179</v>
      </c>
      <c r="I84">
        <f t="array" ref="I84:J84">TRANSPOSE(MMULT({0,-1;1,0},TRANSPOSE(G84:H84)))</f>
        <v>-0.50798501994429179</v>
      </c>
      <c r="J84">
        <v>0.86136590338380437</v>
      </c>
      <c r="K84">
        <f t="shared" si="17"/>
        <v>53.460074900277988</v>
      </c>
      <c r="L84">
        <f t="shared" si="17"/>
        <v>58.306829516918697</v>
      </c>
      <c r="M84">
        <f t="shared" si="18"/>
        <v>58.539925099720904</v>
      </c>
      <c r="N84">
        <f t="shared" si="18"/>
        <v>49.69317048308065</v>
      </c>
    </row>
    <row r="85" spans="1:14" x14ac:dyDescent="0.15">
      <c r="A85">
        <f t="shared" si="10"/>
        <v>8.0999999999999854</v>
      </c>
      <c r="B85">
        <f t="shared" si="19"/>
        <v>60.020999999999397</v>
      </c>
      <c r="C85">
        <f t="shared" si="11"/>
        <v>56.420999999999637</v>
      </c>
      <c r="D85">
        <f t="shared" si="12"/>
        <v>41.429999999999644</v>
      </c>
      <c r="E85">
        <f t="shared" si="13"/>
        <v>25.429999999999644</v>
      </c>
      <c r="F85">
        <f t="shared" si="14"/>
        <v>48.612033489661307</v>
      </c>
      <c r="G85">
        <f t="shared" si="15"/>
        <v>0.85225811441956811</v>
      </c>
      <c r="H85">
        <f t="shared" si="16"/>
        <v>0.52312150252690082</v>
      </c>
      <c r="I85">
        <f t="array" ref="I85:J85">TRANSPOSE(MMULT({0,-1;1,0},TRANSPOSE(G85:H85)))</f>
        <v>-0.52312150252690082</v>
      </c>
      <c r="J85">
        <v>0.85225811441956811</v>
      </c>
      <c r="K85">
        <f t="shared" si="17"/>
        <v>57.405392487364892</v>
      </c>
      <c r="L85">
        <f t="shared" si="17"/>
        <v>60.682290572097479</v>
      </c>
      <c r="M85">
        <f t="shared" si="18"/>
        <v>62.636607512633901</v>
      </c>
      <c r="N85">
        <f t="shared" si="18"/>
        <v>52.159709427901795</v>
      </c>
    </row>
    <row r="86" spans="1:14" x14ac:dyDescent="0.15">
      <c r="A86">
        <f t="shared" si="10"/>
        <v>8.1999999999999851</v>
      </c>
      <c r="B86">
        <f t="shared" si="19"/>
        <v>64.287999999999343</v>
      </c>
      <c r="C86">
        <f t="shared" si="11"/>
        <v>59.087999999999582</v>
      </c>
      <c r="D86">
        <f t="shared" si="12"/>
        <v>43.919999999999632</v>
      </c>
      <c r="E86">
        <f t="shared" si="13"/>
        <v>27.919999999999632</v>
      </c>
      <c r="F86">
        <f t="shared" si="14"/>
        <v>52.04318207027648</v>
      </c>
      <c r="G86">
        <f t="shared" si="15"/>
        <v>0.84391457733488096</v>
      </c>
      <c r="H86">
        <f t="shared" si="16"/>
        <v>0.53647757284129705</v>
      </c>
      <c r="I86">
        <f t="array" ref="I86:J86">TRANSPOSE(MMULT({0,-1;1,0},TRANSPOSE(G86:H86)))</f>
        <v>-0.53647757284129705</v>
      </c>
      <c r="J86">
        <v>0.84391457733488096</v>
      </c>
      <c r="K86">
        <f t="shared" si="17"/>
        <v>61.60561213579286</v>
      </c>
      <c r="L86">
        <f t="shared" si="17"/>
        <v>63.307572886673988</v>
      </c>
      <c r="M86">
        <f t="shared" si="18"/>
        <v>66.970387864205833</v>
      </c>
      <c r="N86">
        <f t="shared" si="18"/>
        <v>54.868427113325176</v>
      </c>
    </row>
    <row r="87" spans="1:14" x14ac:dyDescent="0.15">
      <c r="A87">
        <f t="shared" si="10"/>
        <v>8.2999999999999847</v>
      </c>
      <c r="B87">
        <f t="shared" si="19"/>
        <v>68.806999999999292</v>
      </c>
      <c r="C87">
        <f t="shared" si="11"/>
        <v>62.006999999999536</v>
      </c>
      <c r="D87">
        <f t="shared" si="12"/>
        <v>46.469999999999601</v>
      </c>
      <c r="E87">
        <f t="shared" si="13"/>
        <v>30.469999999999601</v>
      </c>
      <c r="F87">
        <f t="shared" si="14"/>
        <v>55.568712419849518</v>
      </c>
      <c r="G87">
        <f t="shared" si="15"/>
        <v>0.83626195346934484</v>
      </c>
      <c r="H87">
        <f t="shared" si="16"/>
        <v>0.54833014250507472</v>
      </c>
      <c r="I87">
        <f t="array" ref="I87:J87">TRANSPOSE(MMULT({0,-1;1,0},TRANSPOSE(G87:H87)))</f>
        <v>-0.54833014250507472</v>
      </c>
      <c r="J87">
        <v>0.83626195346934484</v>
      </c>
      <c r="K87">
        <f t="shared" si="17"/>
        <v>66.065349287473921</v>
      </c>
      <c r="L87">
        <f t="shared" si="17"/>
        <v>66.188309767346254</v>
      </c>
      <c r="M87">
        <f t="shared" si="18"/>
        <v>71.548650712524662</v>
      </c>
      <c r="N87">
        <f t="shared" si="18"/>
        <v>57.825690232652811</v>
      </c>
    </row>
    <row r="88" spans="1:14" x14ac:dyDescent="0.15">
      <c r="A88">
        <f t="shared" si="10"/>
        <v>8.3999999999999844</v>
      </c>
      <c r="B88">
        <f t="shared" si="19"/>
        <v>73.583999999999236</v>
      </c>
      <c r="C88">
        <f t="shared" si="11"/>
        <v>65.183999999999486</v>
      </c>
      <c r="D88">
        <f t="shared" si="12"/>
        <v>49.079999999999586</v>
      </c>
      <c r="E88">
        <f t="shared" si="13"/>
        <v>33.079999999999586</v>
      </c>
      <c r="F88">
        <f t="shared" si="14"/>
        <v>59.187268901343401</v>
      </c>
      <c r="G88">
        <f t="shared" si="15"/>
        <v>0.82923238242009156</v>
      </c>
      <c r="H88">
        <f t="shared" si="16"/>
        <v>0.55890397739316455</v>
      </c>
      <c r="I88">
        <f t="array" ref="I88:J88">TRANSPOSE(MMULT({0,-1;1,0},TRANSPOSE(G88:H88)))</f>
        <v>-0.55890397739316455</v>
      </c>
      <c r="J88">
        <v>0.82923238242009156</v>
      </c>
      <c r="K88">
        <f t="shared" si="17"/>
        <v>70.78948011303342</v>
      </c>
      <c r="L88">
        <f t="shared" si="17"/>
        <v>69.330161912099939</v>
      </c>
      <c r="M88">
        <f t="shared" si="18"/>
        <v>76.378519886965051</v>
      </c>
      <c r="N88">
        <f t="shared" si="18"/>
        <v>61.037838087899026</v>
      </c>
    </row>
    <row r="89" spans="1:14" x14ac:dyDescent="0.15">
      <c r="A89">
        <f t="shared" si="10"/>
        <v>8.499999999999984</v>
      </c>
      <c r="B89">
        <f t="shared" si="19"/>
        <v>78.624999999999176</v>
      </c>
      <c r="C89">
        <f t="shared" si="11"/>
        <v>68.624999999999432</v>
      </c>
      <c r="D89">
        <f t="shared" si="12"/>
        <v>51.749999999999574</v>
      </c>
      <c r="E89">
        <f t="shared" si="13"/>
        <v>35.749999999999574</v>
      </c>
      <c r="F89">
        <f t="shared" si="14"/>
        <v>62.897734458404187</v>
      </c>
      <c r="G89">
        <f t="shared" si="15"/>
        <v>0.82276413364654832</v>
      </c>
      <c r="H89">
        <f t="shared" si="16"/>
        <v>0.56838295222925594</v>
      </c>
      <c r="I89">
        <f t="array" ref="I89:J89">TRANSPOSE(MMULT({0,-1;1,0},TRANSPOSE(G89:H89)))</f>
        <v>-0.56838295222925594</v>
      </c>
      <c r="J89">
        <v>0.82276413364654832</v>
      </c>
      <c r="K89">
        <f t="shared" si="17"/>
        <v>75.783085238852891</v>
      </c>
      <c r="L89">
        <f t="shared" si="17"/>
        <v>72.738820668232179</v>
      </c>
      <c r="M89">
        <f t="shared" si="18"/>
        <v>81.46691476114546</v>
      </c>
      <c r="N89">
        <f t="shared" si="18"/>
        <v>64.511179331766684</v>
      </c>
    </row>
    <row r="90" spans="1:14" x14ac:dyDescent="0.15">
      <c r="A90">
        <f t="shared" si="10"/>
        <v>8.5999999999999837</v>
      </c>
      <c r="B90">
        <f t="shared" si="19"/>
        <v>83.935999999999126</v>
      </c>
      <c r="C90">
        <f t="shared" si="11"/>
        <v>72.335999999999387</v>
      </c>
      <c r="D90">
        <f t="shared" si="12"/>
        <v>54.479999999999549</v>
      </c>
      <c r="E90">
        <f t="shared" si="13"/>
        <v>38.479999999999549</v>
      </c>
      <c r="F90">
        <f t="shared" si="14"/>
        <v>66.699181404271499</v>
      </c>
      <c r="G90">
        <f t="shared" si="15"/>
        <v>0.81680162864053651</v>
      </c>
      <c r="H90">
        <f t="shared" si="16"/>
        <v>0.57691862463450327</v>
      </c>
      <c r="I90">
        <f t="array" ref="I90:J90">TRANSPOSE(MMULT({0,-1;1,0},TRANSPOSE(G90:H90)))</f>
        <v>-0.57691862463450327</v>
      </c>
      <c r="J90">
        <v>0.81680162864053651</v>
      </c>
      <c r="K90">
        <f t="shared" si="17"/>
        <v>81.051406876826604</v>
      </c>
      <c r="L90">
        <f t="shared" si="17"/>
        <v>76.420008143202068</v>
      </c>
      <c r="M90">
        <f t="shared" si="18"/>
        <v>86.820593123171648</v>
      </c>
      <c r="N90">
        <f t="shared" si="18"/>
        <v>68.251991856796707</v>
      </c>
    </row>
    <row r="91" spans="1:14" x14ac:dyDescent="0.15">
      <c r="A91">
        <f t="shared" si="10"/>
        <v>8.6999999999999833</v>
      </c>
      <c r="B91">
        <f t="shared" si="19"/>
        <v>89.522999999999058</v>
      </c>
      <c r="C91">
        <f t="shared" si="11"/>
        <v>76.322999999999311</v>
      </c>
      <c r="D91">
        <f t="shared" si="12"/>
        <v>57.269999999999527</v>
      </c>
      <c r="E91">
        <f t="shared" si="13"/>
        <v>41.269999999999527</v>
      </c>
      <c r="F91">
        <f t="shared" si="14"/>
        <v>70.590833682567506</v>
      </c>
      <c r="G91">
        <f t="shared" si="15"/>
        <v>0.81129513581793022</v>
      </c>
      <c r="H91">
        <f t="shared" si="16"/>
        <v>0.5846368125581608</v>
      </c>
      <c r="I91">
        <f t="array" ref="I91:J91">TRANSPOSE(MMULT({0,-1;1,0},TRANSPOSE(G91:H91)))</f>
        <v>-0.5846368125581608</v>
      </c>
      <c r="J91">
        <v>0.81129513581793022</v>
      </c>
      <c r="K91">
        <f t="shared" si="17"/>
        <v>86.599815937208248</v>
      </c>
      <c r="L91">
        <f t="shared" si="17"/>
        <v>80.379475679088955</v>
      </c>
      <c r="M91">
        <f t="shared" si="18"/>
        <v>92.446184062789868</v>
      </c>
      <c r="N91">
        <f t="shared" si="18"/>
        <v>72.266524320909667</v>
      </c>
    </row>
    <row r="92" spans="1:14" x14ac:dyDescent="0.15">
      <c r="A92">
        <f t="shared" si="10"/>
        <v>8.7999999999999829</v>
      </c>
      <c r="B92">
        <f t="shared" si="19"/>
        <v>95.391999999998973</v>
      </c>
      <c r="C92">
        <f t="shared" si="11"/>
        <v>80.591999999999246</v>
      </c>
      <c r="D92">
        <f t="shared" si="12"/>
        <v>60.119999999999507</v>
      </c>
      <c r="E92">
        <f t="shared" si="13"/>
        <v>44.119999999999507</v>
      </c>
      <c r="F92">
        <f t="shared" si="14"/>
        <v>74.572037654873682</v>
      </c>
      <c r="G92">
        <f t="shared" si="15"/>
        <v>0.80620031168037076</v>
      </c>
      <c r="H92">
        <f t="shared" si="16"/>
        <v>0.59164267716796159</v>
      </c>
      <c r="I92">
        <f t="array" ref="I92:J92">TRANSPOSE(MMULT({0,-1;1,0},TRANSPOSE(G92:H92)))</f>
        <v>-0.59164267716796159</v>
      </c>
      <c r="J92">
        <v>0.80620031168037076</v>
      </c>
      <c r="K92">
        <f t="shared" si="17"/>
        <v>92.43378661415916</v>
      </c>
      <c r="L92">
        <f t="shared" si="17"/>
        <v>84.6230015584011</v>
      </c>
      <c r="M92">
        <f t="shared" si="18"/>
        <v>98.350213385838785</v>
      </c>
      <c r="N92">
        <f t="shared" si="18"/>
        <v>76.560998441597391</v>
      </c>
    </row>
    <row r="93" spans="1:14" x14ac:dyDescent="0.15">
      <c r="A93">
        <f t="shared" si="10"/>
        <v>8.8999999999999826</v>
      </c>
      <c r="B93">
        <f t="shared" si="19"/>
        <v>101.5489999999989</v>
      </c>
      <c r="C93">
        <f t="shared" si="11"/>
        <v>85.148999999999191</v>
      </c>
      <c r="D93">
        <f t="shared" si="12"/>
        <v>63.02999999999949</v>
      </c>
      <c r="E93">
        <f t="shared" si="13"/>
        <v>47.02999999999949</v>
      </c>
      <c r="F93">
        <f t="shared" si="14"/>
        <v>78.642239286530284</v>
      </c>
      <c r="G93">
        <f t="shared" si="15"/>
        <v>0.80147768644216577</v>
      </c>
      <c r="H93">
        <f t="shared" si="16"/>
        <v>0.59802468020585364</v>
      </c>
      <c r="I93">
        <f t="array" ref="I93:J93">TRANSPOSE(MMULT({0,-1;1,0},TRANSPOSE(G93:H93)))</f>
        <v>-0.59802468020585364</v>
      </c>
      <c r="J93">
        <v>0.80147768644216577</v>
      </c>
      <c r="K93">
        <f t="shared" si="17"/>
        <v>98.558876598969633</v>
      </c>
      <c r="L93">
        <f t="shared" si="17"/>
        <v>89.156388432210022</v>
      </c>
      <c r="M93">
        <f t="shared" si="18"/>
        <v>104.53912340102816</v>
      </c>
      <c r="N93">
        <f t="shared" si="18"/>
        <v>81.14161156778836</v>
      </c>
    </row>
    <row r="94" spans="1:14" x14ac:dyDescent="0.15">
      <c r="A94">
        <f t="shared" si="10"/>
        <v>8.9999999999999822</v>
      </c>
      <c r="B94">
        <f t="shared" si="19"/>
        <v>107.99999999999882</v>
      </c>
      <c r="C94">
        <f t="shared" si="11"/>
        <v>89.999999999999105</v>
      </c>
      <c r="D94">
        <f t="shared" si="12"/>
        <v>65.99999999999946</v>
      </c>
      <c r="E94">
        <f t="shared" si="13"/>
        <v>49.99999999999946</v>
      </c>
      <c r="F94">
        <f t="shared" si="14"/>
        <v>82.800966177937042</v>
      </c>
      <c r="G94">
        <f t="shared" si="15"/>
        <v>0.79709214815401119</v>
      </c>
      <c r="H94">
        <f t="shared" si="16"/>
        <v>0.60385768799546147</v>
      </c>
      <c r="I94">
        <f t="array" ref="I94:J94">TRANSPOSE(MMULT({0,-1;1,0},TRANSPOSE(G94:H94)))</f>
        <v>-0.60385768799546147</v>
      </c>
      <c r="J94">
        <v>0.79709214815401119</v>
      </c>
      <c r="K94">
        <f t="shared" si="17"/>
        <v>104.98071156002152</v>
      </c>
      <c r="L94">
        <f t="shared" si="17"/>
        <v>93.985460740769156</v>
      </c>
      <c r="M94">
        <f t="shared" si="18"/>
        <v>111.01928843997612</v>
      </c>
      <c r="N94">
        <f t="shared" si="18"/>
        <v>86.014539259229053</v>
      </c>
    </row>
    <row r="95" spans="1:14" x14ac:dyDescent="0.15">
      <c r="A95">
        <f t="shared" si="10"/>
        <v>9.0999999999999819</v>
      </c>
      <c r="B95">
        <f t="shared" si="19"/>
        <v>114.75099999999875</v>
      </c>
      <c r="C95">
        <f t="shared" si="11"/>
        <v>95.150999999999044</v>
      </c>
      <c r="D95">
        <f t="shared" si="12"/>
        <v>69.029999999999447</v>
      </c>
      <c r="E95">
        <f t="shared" si="13"/>
        <v>53.029999999999447</v>
      </c>
      <c r="F95">
        <f t="shared" si="14"/>
        <v>87.047813298209078</v>
      </c>
      <c r="G95">
        <f t="shared" si="15"/>
        <v>0.79301245355257732</v>
      </c>
      <c r="H95">
        <f t="shared" si="16"/>
        <v>0.60920542390110199</v>
      </c>
      <c r="I95">
        <f t="array" ref="I95:J95">TRANSPOSE(MMULT({0,-1;1,0},TRANSPOSE(G95:H95)))</f>
        <v>-0.60920542390110199</v>
      </c>
      <c r="J95">
        <v>0.79301245355257732</v>
      </c>
      <c r="K95">
        <f t="shared" si="17"/>
        <v>111.70497288049324</v>
      </c>
      <c r="L95">
        <f t="shared" si="17"/>
        <v>99.116062267761933</v>
      </c>
      <c r="M95">
        <f t="shared" si="18"/>
        <v>117.79702711950426</v>
      </c>
      <c r="N95">
        <f t="shared" si="18"/>
        <v>91.185937732236155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20"/>
  <sheetViews>
    <sheetView workbookViewId="0"/>
  </sheetViews>
  <sheetFormatPr defaultRowHeight="13.5" x14ac:dyDescent="0.15"/>
  <sheetData>
    <row r="2" spans="1:10" x14ac:dyDescent="0.15">
      <c r="C2" t="s">
        <v>3</v>
      </c>
    </row>
    <row r="3" spans="1:10" x14ac:dyDescent="0.15">
      <c r="C3">
        <v>7</v>
      </c>
      <c r="D3">
        <v>6</v>
      </c>
      <c r="E3">
        <v>5</v>
      </c>
      <c r="F3">
        <v>4</v>
      </c>
      <c r="G3">
        <v>3</v>
      </c>
      <c r="H3">
        <v>2</v>
      </c>
      <c r="I3">
        <v>1</v>
      </c>
      <c r="J3">
        <v>0</v>
      </c>
    </row>
    <row r="4" spans="1:10" x14ac:dyDescent="0.15">
      <c r="A4" t="s">
        <v>1</v>
      </c>
      <c r="B4">
        <v>256</v>
      </c>
      <c r="C4">
        <f>2^C3</f>
        <v>128</v>
      </c>
      <c r="D4">
        <f t="shared" ref="D4:J4" si="0">2^D3</f>
        <v>64</v>
      </c>
      <c r="E4">
        <f t="shared" si="0"/>
        <v>32</v>
      </c>
      <c r="F4">
        <f t="shared" si="0"/>
        <v>16</v>
      </c>
      <c r="G4">
        <f t="shared" si="0"/>
        <v>8</v>
      </c>
      <c r="H4">
        <f t="shared" si="0"/>
        <v>4</v>
      </c>
      <c r="I4">
        <f t="shared" si="0"/>
        <v>2</v>
      </c>
      <c r="J4">
        <f t="shared" si="0"/>
        <v>1</v>
      </c>
    </row>
    <row r="5" spans="1:10" x14ac:dyDescent="0.15">
      <c r="A5" t="s">
        <v>0</v>
      </c>
      <c r="B5">
        <v>223</v>
      </c>
      <c r="C5">
        <f>IF(B5&gt;=C4,B5-C4,B5)</f>
        <v>95</v>
      </c>
      <c r="D5">
        <f t="shared" ref="D5:J5" si="1">IF(C5&gt;=D4,C5-D4,C5)</f>
        <v>31</v>
      </c>
      <c r="E5">
        <f t="shared" si="1"/>
        <v>31</v>
      </c>
      <c r="F5">
        <f t="shared" si="1"/>
        <v>15</v>
      </c>
      <c r="G5">
        <f t="shared" si="1"/>
        <v>7</v>
      </c>
      <c r="H5">
        <f t="shared" si="1"/>
        <v>3</v>
      </c>
      <c r="I5">
        <f t="shared" si="1"/>
        <v>1</v>
      </c>
      <c r="J5">
        <f t="shared" si="1"/>
        <v>0</v>
      </c>
    </row>
    <row r="6" spans="1:10" x14ac:dyDescent="0.15">
      <c r="A6" t="s">
        <v>2</v>
      </c>
      <c r="B6">
        <f>SUMPRODUCT(C4:J4,C6:J6)</f>
        <v>223</v>
      </c>
      <c r="C6">
        <f>(B5&gt;C5)*1</f>
        <v>1</v>
      </c>
      <c r="D6">
        <f t="shared" ref="D6:J6" si="2">(C5&gt;D5)*1</f>
        <v>1</v>
      </c>
      <c r="E6">
        <f t="shared" si="2"/>
        <v>0</v>
      </c>
      <c r="F6">
        <f t="shared" si="2"/>
        <v>1</v>
      </c>
      <c r="G6">
        <f t="shared" si="2"/>
        <v>1</v>
      </c>
      <c r="H6">
        <f t="shared" si="2"/>
        <v>1</v>
      </c>
      <c r="I6">
        <f t="shared" si="2"/>
        <v>1</v>
      </c>
      <c r="J6">
        <f t="shared" si="2"/>
        <v>1</v>
      </c>
    </row>
    <row r="8" spans="1:10" x14ac:dyDescent="0.15">
      <c r="C8">
        <v>7</v>
      </c>
      <c r="D8">
        <v>6</v>
      </c>
      <c r="E8">
        <v>5</v>
      </c>
      <c r="F8">
        <v>4</v>
      </c>
      <c r="G8">
        <v>3</v>
      </c>
      <c r="H8">
        <v>2</v>
      </c>
      <c r="I8">
        <v>1</v>
      </c>
      <c r="J8">
        <v>0</v>
      </c>
    </row>
    <row r="9" spans="1:10" x14ac:dyDescent="0.15">
      <c r="A9" t="s">
        <v>1</v>
      </c>
      <c r="B9">
        <v>256</v>
      </c>
      <c r="C9">
        <f>2^C8</f>
        <v>128</v>
      </c>
      <c r="D9">
        <f t="shared" ref="D9:J9" si="3">2^D8</f>
        <v>64</v>
      </c>
      <c r="E9">
        <f t="shared" si="3"/>
        <v>32</v>
      </c>
      <c r="F9">
        <f t="shared" si="3"/>
        <v>16</v>
      </c>
      <c r="G9">
        <f t="shared" si="3"/>
        <v>8</v>
      </c>
      <c r="H9">
        <f t="shared" si="3"/>
        <v>4</v>
      </c>
      <c r="I9">
        <f t="shared" si="3"/>
        <v>2</v>
      </c>
      <c r="J9">
        <f t="shared" si="3"/>
        <v>1</v>
      </c>
    </row>
    <row r="10" spans="1:10" x14ac:dyDescent="0.15">
      <c r="A10" t="s">
        <v>0</v>
      </c>
      <c r="B10">
        <v>217</v>
      </c>
      <c r="C10">
        <f>IF(B10&gt;=C9,B10-C9,B10)</f>
        <v>89</v>
      </c>
      <c r="D10">
        <f t="shared" ref="D10:J10" si="4">IF(C10&gt;=D9,C10-D9,C10)</f>
        <v>25</v>
      </c>
      <c r="E10">
        <f t="shared" si="4"/>
        <v>25</v>
      </c>
      <c r="F10">
        <f t="shared" si="4"/>
        <v>9</v>
      </c>
      <c r="G10">
        <f t="shared" si="4"/>
        <v>1</v>
      </c>
      <c r="H10">
        <f t="shared" si="4"/>
        <v>1</v>
      </c>
      <c r="I10">
        <f t="shared" si="4"/>
        <v>1</v>
      </c>
      <c r="J10">
        <f t="shared" si="4"/>
        <v>0</v>
      </c>
    </row>
    <row r="11" spans="1:10" x14ac:dyDescent="0.15">
      <c r="A11" t="s">
        <v>2</v>
      </c>
      <c r="B11">
        <f>SUMPRODUCT(C9:J9,C11:J11)</f>
        <v>217</v>
      </c>
      <c r="C11">
        <f>(B10&gt;C10)*1</f>
        <v>1</v>
      </c>
      <c r="D11">
        <f t="shared" ref="D11:J11" si="5">(C10&gt;D10)*1</f>
        <v>1</v>
      </c>
      <c r="E11">
        <f t="shared" si="5"/>
        <v>0</v>
      </c>
      <c r="F11">
        <f t="shared" si="5"/>
        <v>1</v>
      </c>
      <c r="G11">
        <f t="shared" si="5"/>
        <v>1</v>
      </c>
      <c r="H11">
        <f t="shared" si="5"/>
        <v>0</v>
      </c>
      <c r="I11">
        <f t="shared" si="5"/>
        <v>0</v>
      </c>
      <c r="J11">
        <f t="shared" si="5"/>
        <v>1</v>
      </c>
    </row>
    <row r="14" spans="1:10" x14ac:dyDescent="0.15">
      <c r="A14" t="s">
        <v>4</v>
      </c>
      <c r="B14">
        <v>0</v>
      </c>
      <c r="C14">
        <f>C6</f>
        <v>1</v>
      </c>
      <c r="D14">
        <f t="shared" ref="D14:J14" si="6">D6</f>
        <v>1</v>
      </c>
      <c r="E14">
        <f t="shared" si="6"/>
        <v>0</v>
      </c>
      <c r="F14">
        <f t="shared" si="6"/>
        <v>1</v>
      </c>
      <c r="G14">
        <f t="shared" si="6"/>
        <v>1</v>
      </c>
      <c r="H14">
        <f t="shared" si="6"/>
        <v>1</v>
      </c>
      <c r="I14">
        <f t="shared" si="6"/>
        <v>1</v>
      </c>
      <c r="J14">
        <f t="shared" si="6"/>
        <v>1</v>
      </c>
    </row>
    <row r="15" spans="1:10" x14ac:dyDescent="0.15">
      <c r="A15" t="s">
        <v>5</v>
      </c>
      <c r="B15">
        <v>0</v>
      </c>
      <c r="C15">
        <f>C11</f>
        <v>1</v>
      </c>
      <c r="D15">
        <f t="shared" ref="D15:J15" si="7">D11</f>
        <v>1</v>
      </c>
      <c r="E15">
        <f t="shared" si="7"/>
        <v>0</v>
      </c>
      <c r="F15">
        <f t="shared" si="7"/>
        <v>1</v>
      </c>
      <c r="G15">
        <f t="shared" si="7"/>
        <v>1</v>
      </c>
      <c r="H15">
        <f t="shared" si="7"/>
        <v>0</v>
      </c>
      <c r="I15">
        <f t="shared" si="7"/>
        <v>0</v>
      </c>
      <c r="J15">
        <f t="shared" si="7"/>
        <v>1</v>
      </c>
    </row>
    <row r="16" spans="1:10" x14ac:dyDescent="0.15">
      <c r="A16" t="s">
        <v>6</v>
      </c>
      <c r="B16">
        <f>(B14&lt;&gt;B15)*1</f>
        <v>0</v>
      </c>
      <c r="C16">
        <f>(C14&lt;&gt;C15)*1</f>
        <v>0</v>
      </c>
      <c r="D16">
        <f t="shared" ref="D16:J16" si="8">(D14&lt;&gt;D15)*1</f>
        <v>0</v>
      </c>
      <c r="E16">
        <f t="shared" si="8"/>
        <v>0</v>
      </c>
      <c r="F16">
        <f t="shared" si="8"/>
        <v>0</v>
      </c>
      <c r="G16">
        <f t="shared" si="8"/>
        <v>0</v>
      </c>
      <c r="H16">
        <f t="shared" si="8"/>
        <v>1</v>
      </c>
      <c r="I16">
        <f t="shared" si="8"/>
        <v>1</v>
      </c>
      <c r="J16">
        <f t="shared" si="8"/>
        <v>0</v>
      </c>
    </row>
    <row r="17" spans="1:10" x14ac:dyDescent="0.15">
      <c r="A17" t="s">
        <v>7</v>
      </c>
      <c r="B17">
        <f t="shared" ref="B17:H17" si="9">AND(B14,B15)+AND(B16,C17)</f>
        <v>0</v>
      </c>
      <c r="C17">
        <f t="shared" si="9"/>
        <v>1</v>
      </c>
      <c r="D17">
        <f t="shared" si="9"/>
        <v>1</v>
      </c>
      <c r="E17">
        <f t="shared" si="9"/>
        <v>0</v>
      </c>
      <c r="F17">
        <f t="shared" si="9"/>
        <v>1</v>
      </c>
      <c r="G17">
        <f t="shared" si="9"/>
        <v>1</v>
      </c>
      <c r="H17">
        <f t="shared" si="9"/>
        <v>1</v>
      </c>
      <c r="I17">
        <f>AND(I14,I15)+AND(I16,J17)</f>
        <v>1</v>
      </c>
      <c r="J17">
        <f t="shared" ref="J17" si="10">AND(J14,J15)*1</f>
        <v>1</v>
      </c>
    </row>
    <row r="18" spans="1:10" x14ac:dyDescent="0.15">
      <c r="A18" t="s">
        <v>8</v>
      </c>
      <c r="B18">
        <f t="shared" ref="B18:H18" si="11">(B16&lt;&gt;C17)*1</f>
        <v>1</v>
      </c>
      <c r="C18">
        <f t="shared" si="11"/>
        <v>1</v>
      </c>
      <c r="D18">
        <f t="shared" si="11"/>
        <v>0</v>
      </c>
      <c r="E18">
        <f t="shared" si="11"/>
        <v>1</v>
      </c>
      <c r="F18">
        <f t="shared" si="11"/>
        <v>1</v>
      </c>
      <c r="G18">
        <f t="shared" si="11"/>
        <v>1</v>
      </c>
      <c r="H18">
        <f t="shared" si="11"/>
        <v>0</v>
      </c>
      <c r="I18">
        <f>(I16&lt;&gt;J17)*1</f>
        <v>0</v>
      </c>
      <c r="J18">
        <f>J16</f>
        <v>0</v>
      </c>
    </row>
    <row r="19" spans="1:10" x14ac:dyDescent="0.15">
      <c r="A19" t="s">
        <v>9</v>
      </c>
      <c r="B19">
        <f>B6+B11</f>
        <v>440</v>
      </c>
    </row>
    <row r="20" spans="1:10" x14ac:dyDescent="0.15">
      <c r="A20" t="s">
        <v>10</v>
      </c>
      <c r="B20">
        <f>SUMPRODUCT(B9:J9,B18:J18)</f>
        <v>440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A7" sqref="A7"/>
    </sheetView>
  </sheetViews>
  <sheetFormatPr defaultRowHeight="13.5" x14ac:dyDescent="0.15"/>
  <sheetData>
    <row r="1" spans="1:2" x14ac:dyDescent="0.15">
      <c r="A1" s="1" t="s">
        <v>39</v>
      </c>
      <c r="B1" s="1">
        <v>0</v>
      </c>
    </row>
    <row r="2" spans="1:2" x14ac:dyDescent="0.15">
      <c r="A2" s="1" t="s">
        <v>40</v>
      </c>
      <c r="B2" s="1">
        <f>3*B1^3-2*B1^2+9*B1-2</f>
        <v>-2</v>
      </c>
    </row>
    <row r="4" spans="1:2" x14ac:dyDescent="0.15">
      <c r="A4" t="s">
        <v>41</v>
      </c>
    </row>
    <row r="6" spans="1:2" x14ac:dyDescent="0.15">
      <c r="A6" t="s">
        <v>55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1"/>
  <sheetViews>
    <sheetView workbookViewId="0">
      <selection activeCell="D19" sqref="D19"/>
    </sheetView>
  </sheetViews>
  <sheetFormatPr defaultRowHeight="13.5" x14ac:dyDescent="0.15"/>
  <sheetData>
    <row r="1" spans="1:9" x14ac:dyDescent="0.15">
      <c r="A1" s="1">
        <v>120</v>
      </c>
      <c r="B1" s="1">
        <f>A1*PI()/180</f>
        <v>2.0943951023931953</v>
      </c>
      <c r="C1" s="1">
        <f>COS(B1)</f>
        <v>-0.49999999999999978</v>
      </c>
      <c r="D1" s="1">
        <f>-SIN(B1)</f>
        <v>-0.86602540378443871</v>
      </c>
      <c r="E1" s="1"/>
      <c r="F1" s="1"/>
      <c r="G1" s="1"/>
      <c r="H1" s="1"/>
      <c r="I1" s="1"/>
    </row>
    <row r="2" spans="1:9" x14ac:dyDescent="0.15">
      <c r="A2" s="1" t="s">
        <v>48</v>
      </c>
      <c r="B2" s="1" t="s">
        <v>49</v>
      </c>
      <c r="C2" s="1">
        <f>SIN(B1)</f>
        <v>0.86602540378443871</v>
      </c>
      <c r="D2" s="1">
        <f>COS(B1)</f>
        <v>-0.49999999999999978</v>
      </c>
      <c r="E2" s="1" t="s">
        <v>50</v>
      </c>
      <c r="F2" s="1"/>
      <c r="G2" s="1"/>
      <c r="H2" s="1"/>
      <c r="I2" s="1"/>
    </row>
    <row r="3" spans="1:9" x14ac:dyDescent="0.15">
      <c r="A3" s="1"/>
      <c r="B3" s="1"/>
      <c r="C3" s="1"/>
      <c r="D3" s="1"/>
      <c r="E3" s="1"/>
      <c r="F3" s="1"/>
      <c r="G3" s="1"/>
      <c r="H3" s="1"/>
      <c r="I3" s="1"/>
    </row>
    <row r="4" spans="1:9" x14ac:dyDescent="0.15">
      <c r="A4" s="1"/>
      <c r="B4" s="1" t="s">
        <v>44</v>
      </c>
      <c r="C4" s="1" t="s">
        <v>45</v>
      </c>
      <c r="D4" s="1" t="s">
        <v>42</v>
      </c>
      <c r="E4" s="1" t="s">
        <v>43</v>
      </c>
      <c r="F4" s="1" t="s">
        <v>46</v>
      </c>
      <c r="G4" s="1" t="s">
        <v>47</v>
      </c>
      <c r="H4" s="1"/>
      <c r="I4" s="1"/>
    </row>
    <row r="5" spans="1:9" x14ac:dyDescent="0.15">
      <c r="A5" s="1">
        <v>1</v>
      </c>
      <c r="B5" s="1">
        <f>IF(A5=1,1,B4*A5)</f>
        <v>1</v>
      </c>
      <c r="C5" s="1">
        <f>IF(A5&lt;3,A5,C1+C4)</f>
        <v>1</v>
      </c>
      <c r="D5" s="1">
        <f>1/SQRT(2)</f>
        <v>0.70710678118654746</v>
      </c>
      <c r="E5" s="1">
        <f>1/SQRT(2)</f>
        <v>0.70710678118654746</v>
      </c>
      <c r="F5" s="1">
        <f t="array" ref="F5:G5">TRANSPOSE(MMULT($C$1:$D$2,TRANSPOSE(D5:E5)))</f>
        <v>-0.96592582628906798</v>
      </c>
      <c r="G5" s="1">
        <v>0.25881904510252091</v>
      </c>
      <c r="H5" s="1">
        <f>SQRT(F5^2+G5^2)</f>
        <v>0.99999999999999978</v>
      </c>
      <c r="I5" s="1"/>
    </row>
    <row r="6" spans="1:9" x14ac:dyDescent="0.15">
      <c r="A6" s="1">
        <v>2</v>
      </c>
      <c r="B6" s="1">
        <f t="shared" ref="B6:B14" si="0">IF(A6=1,1,B5*A6)</f>
        <v>2</v>
      </c>
      <c r="C6" s="1">
        <f t="shared" ref="C6:C14" si="1">IF(A6&lt;3,A6,C4+C5)</f>
        <v>2</v>
      </c>
      <c r="D6" s="1">
        <f t="shared" ref="D6:E14" si="2">D5+F5*$C6</f>
        <v>-1.2247448713915885</v>
      </c>
      <c r="E6" s="1">
        <f t="shared" si="2"/>
        <v>1.2247448713915894</v>
      </c>
      <c r="F6" s="1">
        <f t="array" ref="F6:G6">TRANSPOSE(MMULT($C$1:$D$2,TRANSPOSE(F5:G5)))</f>
        <v>0.25881904510252024</v>
      </c>
      <c r="G6" s="1">
        <v>-0.96592582628906809</v>
      </c>
      <c r="H6" s="1"/>
      <c r="I6" s="1"/>
    </row>
    <row r="7" spans="1:9" x14ac:dyDescent="0.15">
      <c r="A7" s="1">
        <v>3</v>
      </c>
      <c r="B7" s="1">
        <f t="shared" si="0"/>
        <v>6</v>
      </c>
      <c r="C7" s="1">
        <f t="shared" si="1"/>
        <v>3</v>
      </c>
      <c r="D7" s="1">
        <f t="shared" si="2"/>
        <v>-0.44828773608402783</v>
      </c>
      <c r="E7" s="1">
        <f t="shared" si="2"/>
        <v>-1.6730326074756148</v>
      </c>
      <c r="F7" s="1">
        <f t="array" ref="F7:G7">TRANSPOSE(MMULT($C$1:$D$2,TRANSPOSE(F6:G6)))</f>
        <v>0.70710678118654779</v>
      </c>
      <c r="G7" s="1">
        <v>0.7071067811865468</v>
      </c>
      <c r="H7" s="1"/>
      <c r="I7" s="1"/>
    </row>
    <row r="8" spans="1:9" x14ac:dyDescent="0.15">
      <c r="A8" s="1">
        <v>4</v>
      </c>
      <c r="B8" s="1">
        <f t="shared" si="0"/>
        <v>24</v>
      </c>
      <c r="C8" s="1">
        <f t="shared" si="1"/>
        <v>5</v>
      </c>
      <c r="D8" s="1">
        <f t="shared" si="2"/>
        <v>3.0872461698487115</v>
      </c>
      <c r="E8" s="1">
        <f t="shared" si="2"/>
        <v>1.8625012984571194</v>
      </c>
      <c r="F8" s="1">
        <f t="array" ref="F8:G8">TRANSPOSE(MMULT($C$1:$D$2,TRANSPOSE(F7:G7)))</f>
        <v>-0.96592582628906765</v>
      </c>
      <c r="G8" s="1">
        <v>0.25881904510252157</v>
      </c>
      <c r="H8" s="1"/>
      <c r="I8" s="1"/>
    </row>
    <row r="9" spans="1:9" x14ac:dyDescent="0.15">
      <c r="A9" s="1">
        <v>5</v>
      </c>
      <c r="B9" s="1">
        <f t="shared" si="0"/>
        <v>120</v>
      </c>
      <c r="C9" s="1">
        <f t="shared" si="1"/>
        <v>8</v>
      </c>
      <c r="D9" s="1">
        <f t="shared" si="2"/>
        <v>-4.6401604404638297</v>
      </c>
      <c r="E9" s="1">
        <f t="shared" si="2"/>
        <v>3.933053659277292</v>
      </c>
      <c r="F9" s="1">
        <f t="array" ref="F9:G9">TRANSPOSE(MMULT($C$1:$D$2,TRANSPOSE(F8:G8)))</f>
        <v>0.25881904510251952</v>
      </c>
      <c r="G9" s="1">
        <v>-0.96592582628906809</v>
      </c>
      <c r="H9" s="1"/>
      <c r="I9" s="1"/>
    </row>
    <row r="10" spans="1:9" x14ac:dyDescent="0.15">
      <c r="A10" s="1">
        <v>6</v>
      </c>
      <c r="B10" s="1">
        <f t="shared" si="0"/>
        <v>720</v>
      </c>
      <c r="C10" s="1">
        <f t="shared" si="1"/>
        <v>13</v>
      </c>
      <c r="D10" s="1">
        <f t="shared" si="2"/>
        <v>-1.2755128541310761</v>
      </c>
      <c r="E10" s="1">
        <f t="shared" si="2"/>
        <v>-8.6239820824805928</v>
      </c>
      <c r="F10" s="1">
        <f t="array" ref="F10:G10">TRANSPOSE(MMULT($C$1:$D$2,TRANSPOSE(F9:G9)))</f>
        <v>0.70710678118654813</v>
      </c>
      <c r="G10" s="1">
        <v>0.70710678118654613</v>
      </c>
      <c r="H10" s="1"/>
      <c r="I10" s="1"/>
    </row>
    <row r="11" spans="1:9" x14ac:dyDescent="0.15">
      <c r="A11" s="1">
        <v>7</v>
      </c>
      <c r="B11" s="1">
        <f t="shared" si="0"/>
        <v>5040</v>
      </c>
      <c r="C11" s="1">
        <f t="shared" si="1"/>
        <v>21</v>
      </c>
      <c r="D11" s="1">
        <f t="shared" si="2"/>
        <v>13.573729550786435</v>
      </c>
      <c r="E11" s="1">
        <f t="shared" si="2"/>
        <v>6.2252603224368759</v>
      </c>
      <c r="F11" s="1">
        <f t="array" ref="F11:G11">TRANSPOSE(MMULT($C$1:$D$2,TRANSPOSE(F10:G10)))</f>
        <v>-0.96592582628906731</v>
      </c>
      <c r="G11" s="1">
        <v>0.25881904510252224</v>
      </c>
      <c r="H11" s="1"/>
      <c r="I11" s="1"/>
    </row>
    <row r="12" spans="1:9" x14ac:dyDescent="0.15">
      <c r="A12" s="1">
        <v>8</v>
      </c>
      <c r="B12" s="1">
        <f t="shared" si="0"/>
        <v>40320</v>
      </c>
      <c r="C12" s="1">
        <f t="shared" si="1"/>
        <v>34</v>
      </c>
      <c r="D12" s="1">
        <f t="shared" si="2"/>
        <v>-19.267748543041851</v>
      </c>
      <c r="E12" s="1">
        <f t="shared" si="2"/>
        <v>15.025107855922633</v>
      </c>
      <c r="F12" s="1">
        <f t="array" ref="F12:G12">TRANSPOSE(MMULT($C$1:$D$2,TRANSPOSE(F11:G11)))</f>
        <v>0.25881904510251874</v>
      </c>
      <c r="G12" s="1">
        <v>-0.9659258262890682</v>
      </c>
      <c r="H12" s="1"/>
      <c r="I12" s="1"/>
    </row>
    <row r="13" spans="1:9" x14ac:dyDescent="0.15">
      <c r="A13" s="1">
        <v>9</v>
      </c>
      <c r="B13" s="1">
        <f t="shared" si="0"/>
        <v>362880</v>
      </c>
      <c r="C13" s="1">
        <f t="shared" si="1"/>
        <v>55</v>
      </c>
      <c r="D13" s="1">
        <f t="shared" si="2"/>
        <v>-5.0327010624033193</v>
      </c>
      <c r="E13" s="1">
        <f t="shared" si="2"/>
        <v>-38.100812589976115</v>
      </c>
      <c r="F13" s="1">
        <f t="array" ref="F13:G13">TRANSPOSE(MMULT($C$1:$D$2,TRANSPOSE(F12:G12)))</f>
        <v>0.70710678118654857</v>
      </c>
      <c r="G13" s="1">
        <v>0.70710678118654546</v>
      </c>
      <c r="H13" s="1"/>
      <c r="I13" s="1"/>
    </row>
    <row r="14" spans="1:9" x14ac:dyDescent="0.15">
      <c r="A14" s="1">
        <v>10</v>
      </c>
      <c r="B14" s="1">
        <f t="shared" si="0"/>
        <v>3628800</v>
      </c>
      <c r="C14" s="1">
        <f t="shared" si="1"/>
        <v>89</v>
      </c>
      <c r="D14" s="1">
        <f t="shared" si="2"/>
        <v>57.899802463199507</v>
      </c>
      <c r="E14" s="1">
        <f t="shared" si="2"/>
        <v>24.831690935626433</v>
      </c>
      <c r="F14" s="1">
        <f t="array" ref="F14:G14">TRANSPOSE(MMULT($C$1:$D$2,TRANSPOSE(F13:G13)))</f>
        <v>-0.96592582628906687</v>
      </c>
      <c r="G14" s="1">
        <v>0.2588190451025229</v>
      </c>
      <c r="H14" s="1"/>
      <c r="I14" s="1"/>
    </row>
    <row r="15" spans="1:9" x14ac:dyDescent="0.1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1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15">
      <c r="A17" s="1" t="s">
        <v>51</v>
      </c>
      <c r="B17" s="1" t="s">
        <v>52</v>
      </c>
      <c r="C17" s="1" t="s">
        <v>53</v>
      </c>
      <c r="D17" s="1" t="s">
        <v>54</v>
      </c>
      <c r="E17" s="1"/>
      <c r="F17" s="1"/>
      <c r="G17" s="1"/>
      <c r="H17" s="1"/>
      <c r="I17" s="1"/>
    </row>
    <row r="18" spans="1:9" x14ac:dyDescent="0.15">
      <c r="A18" s="1">
        <f ca="1">RAND()*100+100</f>
        <v>100.75617746543529</v>
      </c>
      <c r="B18" s="1">
        <v>127.3850984080068</v>
      </c>
      <c r="C18" s="1">
        <v>1</v>
      </c>
      <c r="D18" s="1">
        <v>100</v>
      </c>
      <c r="E18" s="1">
        <f>VLOOKUP(D18,B18:C41,2,FALSE)</f>
        <v>5</v>
      </c>
      <c r="F18" s="1">
        <f>MATCH(D18,B18:B41,0)</f>
        <v>5</v>
      </c>
      <c r="G18" s="1">
        <f ca="1">OFFSET(B18,0,0,24,1)</f>
        <v>127.3850984080068</v>
      </c>
      <c r="H18" s="1" t="e">
        <f t="array" aca="1" ref="H18" ca="1">MATCH(D18,G18,0)</f>
        <v>#N/A</v>
      </c>
      <c r="I18" s="1">
        <f ca="1">MATCH(D18,OFFSET(B18,0,0,24,1),0)</f>
        <v>5</v>
      </c>
    </row>
    <row r="19" spans="1:9" x14ac:dyDescent="0.15">
      <c r="A19" s="1">
        <v>200</v>
      </c>
      <c r="B19" s="1">
        <v>200</v>
      </c>
      <c r="C19" s="1">
        <v>2</v>
      </c>
      <c r="D19" s="1"/>
      <c r="E19" s="1"/>
      <c r="F19" s="1"/>
      <c r="G19" s="1"/>
      <c r="H19" s="1"/>
      <c r="I19" s="1">
        <f ca="1">MATCH($D$18,OFFSET($B$18,I18,0,24-I18,1),0)+I18</f>
        <v>11</v>
      </c>
    </row>
    <row r="20" spans="1:9" x14ac:dyDescent="0.15">
      <c r="A20" s="1">
        <f t="shared" ref="A20:A41" ca="1" si="3">RAND()*100+100</f>
        <v>161.69045644375888</v>
      </c>
      <c r="B20" s="1">
        <v>185.41097559864829</v>
      </c>
      <c r="C20" s="1">
        <v>3</v>
      </c>
      <c r="D20" s="1"/>
      <c r="E20" s="1"/>
      <c r="F20" s="1"/>
      <c r="G20" s="1"/>
      <c r="H20" s="1"/>
      <c r="I20" s="1">
        <f t="shared" ref="I20" ca="1" si="4">MATCH($D$18,OFFSET($B$18,I19,0,24-I19,1),0)+I19</f>
        <v>21</v>
      </c>
    </row>
    <row r="21" spans="1:9" x14ac:dyDescent="0.15">
      <c r="A21" s="1">
        <f t="shared" ca="1" si="3"/>
        <v>184.91032500642248</v>
      </c>
      <c r="B21" s="1">
        <v>170.4451289756027</v>
      </c>
      <c r="C21" s="1">
        <v>4</v>
      </c>
      <c r="D21" s="1"/>
      <c r="E21" s="1"/>
      <c r="F21" s="1"/>
      <c r="G21" s="1"/>
      <c r="H21" s="1"/>
      <c r="I21" s="1"/>
    </row>
    <row r="22" spans="1:9" x14ac:dyDescent="0.15">
      <c r="A22" s="1">
        <v>100</v>
      </c>
      <c r="B22" s="1">
        <v>100</v>
      </c>
      <c r="C22" s="1">
        <v>5</v>
      </c>
      <c r="D22" s="1"/>
      <c r="E22" s="1"/>
      <c r="F22" s="1"/>
      <c r="G22" s="1"/>
      <c r="H22" s="1"/>
      <c r="I22" s="1"/>
    </row>
    <row r="23" spans="1:9" x14ac:dyDescent="0.15">
      <c r="A23" s="1">
        <f t="shared" ca="1" si="3"/>
        <v>185.97852229905996</v>
      </c>
      <c r="B23" s="1">
        <v>144.65091612193334</v>
      </c>
      <c r="C23" s="1">
        <v>6</v>
      </c>
      <c r="D23" s="1"/>
      <c r="E23" s="1"/>
      <c r="F23" s="1"/>
      <c r="G23" s="1"/>
      <c r="H23" s="1"/>
      <c r="I23" s="1"/>
    </row>
    <row r="24" spans="1:9" x14ac:dyDescent="0.15">
      <c r="A24" s="1">
        <f t="shared" ca="1" si="3"/>
        <v>117.71322133238921</v>
      </c>
      <c r="B24" s="1">
        <v>108.33892697475046</v>
      </c>
      <c r="C24" s="1">
        <v>7</v>
      </c>
      <c r="D24" s="1"/>
      <c r="E24" s="1"/>
      <c r="F24" s="1"/>
      <c r="G24" s="1"/>
      <c r="H24" s="1"/>
      <c r="I24" s="1"/>
    </row>
    <row r="25" spans="1:9" x14ac:dyDescent="0.15">
      <c r="A25" s="1">
        <f t="shared" ca="1" si="3"/>
        <v>153.91521929184788</v>
      </c>
      <c r="B25" s="1">
        <v>165.424261890926</v>
      </c>
      <c r="C25" s="1">
        <v>8</v>
      </c>
      <c r="D25" s="1"/>
      <c r="E25" s="1"/>
      <c r="F25" s="1"/>
      <c r="G25" s="1"/>
      <c r="H25" s="1"/>
      <c r="I25" s="1"/>
    </row>
    <row r="26" spans="1:9" x14ac:dyDescent="0.15">
      <c r="A26" s="1">
        <f t="shared" ca="1" si="3"/>
        <v>186.15008041070794</v>
      </c>
      <c r="B26" s="1">
        <v>187.93065606470728</v>
      </c>
      <c r="C26" s="1">
        <v>9</v>
      </c>
      <c r="D26" s="1"/>
      <c r="E26" s="1"/>
      <c r="F26" s="1"/>
      <c r="G26" s="1"/>
      <c r="H26" s="1"/>
      <c r="I26" s="1"/>
    </row>
    <row r="27" spans="1:9" x14ac:dyDescent="0.15">
      <c r="A27" s="1">
        <f t="shared" ca="1" si="3"/>
        <v>181.0778539621179</v>
      </c>
      <c r="B27" s="1">
        <v>142.11899925858623</v>
      </c>
      <c r="C27" s="1">
        <v>10</v>
      </c>
      <c r="D27" s="1"/>
      <c r="E27" s="1"/>
      <c r="F27" s="1"/>
      <c r="G27" s="1"/>
      <c r="H27" s="1"/>
      <c r="I27" s="1"/>
    </row>
    <row r="28" spans="1:9" x14ac:dyDescent="0.15">
      <c r="A28" s="1">
        <v>100</v>
      </c>
      <c r="B28" s="1">
        <v>100</v>
      </c>
      <c r="C28" s="1">
        <v>11</v>
      </c>
      <c r="D28" s="1"/>
      <c r="E28" s="1"/>
      <c r="F28" s="1"/>
      <c r="G28" s="1"/>
      <c r="H28" s="1"/>
      <c r="I28" s="1"/>
    </row>
    <row r="29" spans="1:9" x14ac:dyDescent="0.15">
      <c r="A29" s="1">
        <f t="shared" ca="1" si="3"/>
        <v>137.82970464826408</v>
      </c>
      <c r="B29" s="1">
        <v>141.88013690912143</v>
      </c>
      <c r="C29" s="1">
        <v>12</v>
      </c>
      <c r="D29" s="1"/>
      <c r="E29" s="1"/>
      <c r="F29" s="1"/>
      <c r="G29" s="1"/>
      <c r="H29" s="1"/>
      <c r="I29" s="1"/>
    </row>
    <row r="30" spans="1:9" x14ac:dyDescent="0.15">
      <c r="A30" s="1">
        <v>200</v>
      </c>
      <c r="B30" s="1">
        <v>200</v>
      </c>
      <c r="C30" s="1">
        <v>13</v>
      </c>
      <c r="D30" s="1"/>
      <c r="E30" s="1"/>
      <c r="F30" s="1"/>
      <c r="G30" s="1"/>
      <c r="H30" s="1"/>
      <c r="I30" s="1"/>
    </row>
    <row r="31" spans="1:9" x14ac:dyDescent="0.15">
      <c r="A31" s="1">
        <f t="shared" ca="1" si="3"/>
        <v>179.17139108495343</v>
      </c>
      <c r="B31" s="1">
        <v>163.58702724356013</v>
      </c>
      <c r="C31" s="1">
        <v>14</v>
      </c>
      <c r="D31" s="1"/>
      <c r="E31" s="1"/>
      <c r="F31" s="1"/>
      <c r="G31" s="1"/>
      <c r="H31" s="1"/>
      <c r="I31" s="1"/>
    </row>
    <row r="32" spans="1:9" x14ac:dyDescent="0.15">
      <c r="A32" s="1">
        <f t="shared" ca="1" si="3"/>
        <v>149.63120462832114</v>
      </c>
      <c r="B32" s="1">
        <v>114.32152550437542</v>
      </c>
      <c r="C32" s="1">
        <v>15</v>
      </c>
      <c r="D32" s="1"/>
      <c r="E32" s="1"/>
      <c r="F32" s="1"/>
      <c r="G32" s="1"/>
      <c r="H32" s="1"/>
      <c r="I32" s="1"/>
    </row>
    <row r="33" spans="1:9" x14ac:dyDescent="0.15">
      <c r="A33" s="1">
        <f t="shared" ca="1" si="3"/>
        <v>113.93240006108799</v>
      </c>
      <c r="B33" s="1">
        <v>116.17476530411774</v>
      </c>
      <c r="C33" s="1">
        <v>16</v>
      </c>
      <c r="D33" s="1"/>
      <c r="E33" s="1"/>
      <c r="F33" s="1"/>
      <c r="G33" s="1"/>
      <c r="H33" s="1"/>
      <c r="I33" s="1"/>
    </row>
    <row r="34" spans="1:9" x14ac:dyDescent="0.15">
      <c r="A34" s="1">
        <f t="shared" ca="1" si="3"/>
        <v>157.15566937493566</v>
      </c>
      <c r="B34" s="1">
        <v>167.67265171356718</v>
      </c>
      <c r="C34" s="1">
        <v>17</v>
      </c>
      <c r="D34" s="1"/>
      <c r="E34" s="1"/>
      <c r="F34" s="1"/>
      <c r="G34" s="1"/>
      <c r="H34" s="1"/>
      <c r="I34" s="1"/>
    </row>
    <row r="35" spans="1:9" x14ac:dyDescent="0.15">
      <c r="A35" s="1">
        <f t="shared" ca="1" si="3"/>
        <v>132.23284785508312</v>
      </c>
      <c r="B35" s="1">
        <v>182.40746332816877</v>
      </c>
      <c r="C35" s="1">
        <v>18</v>
      </c>
      <c r="D35" s="1"/>
      <c r="E35" s="1"/>
      <c r="F35" s="1"/>
      <c r="G35" s="1"/>
      <c r="H35" s="1"/>
      <c r="I35" s="1"/>
    </row>
    <row r="36" spans="1:9" x14ac:dyDescent="0.15">
      <c r="A36" s="1">
        <f t="shared" ca="1" si="3"/>
        <v>113.72540751033416</v>
      </c>
      <c r="B36" s="1">
        <v>140.99914561316035</v>
      </c>
      <c r="C36" s="1">
        <v>19</v>
      </c>
      <c r="D36" s="1"/>
      <c r="E36" s="1"/>
      <c r="F36" s="1"/>
      <c r="G36" s="1"/>
      <c r="H36" s="1"/>
      <c r="I36" s="1"/>
    </row>
    <row r="37" spans="1:9" x14ac:dyDescent="0.15">
      <c r="A37" s="1">
        <v>200</v>
      </c>
      <c r="B37" s="1">
        <v>200</v>
      </c>
      <c r="C37" s="1">
        <v>20</v>
      </c>
      <c r="D37" s="1"/>
      <c r="E37" s="1"/>
      <c r="F37" s="1"/>
      <c r="G37" s="1"/>
      <c r="H37" s="1"/>
      <c r="I37" s="1"/>
    </row>
    <row r="38" spans="1:9" x14ac:dyDescent="0.15">
      <c r="A38" s="1">
        <v>100</v>
      </c>
      <c r="B38" s="1">
        <v>100</v>
      </c>
      <c r="C38" s="1">
        <v>21</v>
      </c>
      <c r="D38" s="1"/>
      <c r="E38" s="1"/>
      <c r="F38" s="1"/>
      <c r="G38" s="1"/>
      <c r="H38" s="1"/>
      <c r="I38" s="1"/>
    </row>
    <row r="39" spans="1:9" x14ac:dyDescent="0.15">
      <c r="A39" s="1">
        <f t="shared" ca="1" si="3"/>
        <v>179.53739537767348</v>
      </c>
      <c r="B39" s="1">
        <v>103.30400839849587</v>
      </c>
      <c r="C39" s="1">
        <v>22</v>
      </c>
      <c r="D39" s="1"/>
      <c r="E39" s="1"/>
      <c r="F39" s="1"/>
      <c r="G39" s="1"/>
      <c r="H39" s="1"/>
      <c r="I39" s="1"/>
    </row>
    <row r="40" spans="1:9" x14ac:dyDescent="0.15">
      <c r="A40" s="1">
        <f t="shared" ca="1" si="3"/>
        <v>116.5773149575852</v>
      </c>
      <c r="B40" s="1">
        <v>146.71322660112858</v>
      </c>
      <c r="C40" s="1">
        <v>23</v>
      </c>
      <c r="D40" s="1"/>
      <c r="E40" s="1"/>
      <c r="F40" s="1"/>
      <c r="G40" s="1"/>
      <c r="H40" s="1"/>
      <c r="I40" s="1"/>
    </row>
    <row r="41" spans="1:9" x14ac:dyDescent="0.15">
      <c r="A41" s="1">
        <f t="shared" ca="1" si="3"/>
        <v>101.19831151936494</v>
      </c>
      <c r="B41" s="1">
        <v>147.19520228387324</v>
      </c>
      <c r="C41" s="1">
        <v>24</v>
      </c>
      <c r="D41" s="1"/>
      <c r="E41" s="1"/>
      <c r="F41" s="1"/>
      <c r="G41" s="1"/>
      <c r="H41" s="1"/>
      <c r="I41" s="1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0"/>
  <sheetViews>
    <sheetView workbookViewId="0">
      <selection activeCell="A11" sqref="A11"/>
    </sheetView>
  </sheetViews>
  <sheetFormatPr defaultRowHeight="13.5" x14ac:dyDescent="0.15"/>
  <sheetData>
    <row r="1" spans="1:8" x14ac:dyDescent="0.15">
      <c r="A1">
        <v>37</v>
      </c>
      <c r="B1">
        <v>37</v>
      </c>
      <c r="C1">
        <v>68</v>
      </c>
      <c r="D1">
        <v>35</v>
      </c>
      <c r="E1">
        <v>80</v>
      </c>
      <c r="F1">
        <v>26</v>
      </c>
      <c r="G1">
        <v>40</v>
      </c>
      <c r="H1">
        <v>21</v>
      </c>
    </row>
    <row r="2" spans="1:8" x14ac:dyDescent="0.15">
      <c r="A2">
        <v>72</v>
      </c>
      <c r="B2">
        <v>46</v>
      </c>
      <c r="C2">
        <v>54</v>
      </c>
      <c r="D2">
        <v>57</v>
      </c>
      <c r="E2">
        <v>64</v>
      </c>
      <c r="F2">
        <v>76</v>
      </c>
      <c r="G2">
        <v>59</v>
      </c>
      <c r="H2">
        <v>98</v>
      </c>
    </row>
    <row r="3" spans="1:8" x14ac:dyDescent="0.15">
      <c r="A3">
        <v>33</v>
      </c>
      <c r="B3">
        <v>62</v>
      </c>
      <c r="C3">
        <v>28</v>
      </c>
      <c r="D3">
        <v>53</v>
      </c>
      <c r="E3">
        <v>87</v>
      </c>
      <c r="F3">
        <v>43</v>
      </c>
      <c r="G3">
        <v>51</v>
      </c>
      <c r="H3">
        <v>32</v>
      </c>
    </row>
    <row r="4" spans="1:8" x14ac:dyDescent="0.15">
      <c r="A4">
        <v>37</v>
      </c>
      <c r="B4">
        <v>22</v>
      </c>
      <c r="C4">
        <v>61</v>
      </c>
      <c r="D4">
        <v>29</v>
      </c>
      <c r="E4">
        <v>94</v>
      </c>
      <c r="F4">
        <v>85</v>
      </c>
      <c r="G4">
        <v>48</v>
      </c>
      <c r="H4">
        <v>92</v>
      </c>
    </row>
    <row r="5" spans="1:8" x14ac:dyDescent="0.15">
      <c r="A5">
        <v>18</v>
      </c>
      <c r="B5">
        <v>76</v>
      </c>
      <c r="C5">
        <v>79</v>
      </c>
      <c r="D5">
        <v>7</v>
      </c>
      <c r="E5">
        <v>48</v>
      </c>
      <c r="F5">
        <v>45</v>
      </c>
      <c r="G5">
        <v>60</v>
      </c>
      <c r="H5">
        <v>91</v>
      </c>
    </row>
    <row r="6" spans="1:8" x14ac:dyDescent="0.15">
      <c r="A6">
        <v>98</v>
      </c>
      <c r="B6">
        <v>36</v>
      </c>
      <c r="C6">
        <v>55</v>
      </c>
      <c r="D6">
        <v>65</v>
      </c>
      <c r="E6">
        <v>58</v>
      </c>
      <c r="F6">
        <v>11</v>
      </c>
      <c r="G6">
        <v>29</v>
      </c>
      <c r="H6">
        <v>5</v>
      </c>
    </row>
    <row r="7" spans="1:8" x14ac:dyDescent="0.15">
      <c r="A7">
        <v>78</v>
      </c>
      <c r="B7">
        <v>54</v>
      </c>
      <c r="C7">
        <v>72</v>
      </c>
      <c r="D7">
        <v>41</v>
      </c>
      <c r="E7">
        <v>29</v>
      </c>
      <c r="F7">
        <v>32</v>
      </c>
      <c r="G7">
        <v>63</v>
      </c>
      <c r="H7">
        <v>11</v>
      </c>
    </row>
    <row r="8" spans="1:8" x14ac:dyDescent="0.15">
      <c r="A8">
        <v>89</v>
      </c>
      <c r="B8">
        <v>34</v>
      </c>
      <c r="C8">
        <v>7</v>
      </c>
      <c r="D8">
        <v>31</v>
      </c>
      <c r="E8">
        <v>97</v>
      </c>
      <c r="F8">
        <v>81</v>
      </c>
      <c r="G8">
        <v>9</v>
      </c>
      <c r="H8">
        <v>16</v>
      </c>
    </row>
    <row r="9" spans="1:8" x14ac:dyDescent="0.15">
      <c r="A9">
        <v>70</v>
      </c>
      <c r="B9">
        <v>12</v>
      </c>
      <c r="C9">
        <v>32</v>
      </c>
      <c r="D9">
        <v>2</v>
      </c>
      <c r="E9">
        <v>91</v>
      </c>
      <c r="F9">
        <v>77</v>
      </c>
      <c r="G9">
        <v>97</v>
      </c>
      <c r="H9">
        <v>45</v>
      </c>
    </row>
    <row r="10" spans="1:8" x14ac:dyDescent="0.15">
      <c r="A10">
        <v>33</v>
      </c>
      <c r="B10">
        <v>60</v>
      </c>
      <c r="C10">
        <v>72</v>
      </c>
      <c r="D10">
        <v>21</v>
      </c>
      <c r="E10">
        <v>6</v>
      </c>
      <c r="F10">
        <v>45</v>
      </c>
      <c r="G10">
        <v>42</v>
      </c>
      <c r="H10">
        <v>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放物線</vt:lpstr>
      <vt:lpstr>軌道</vt:lpstr>
      <vt:lpstr>論理式の合計</vt:lpstr>
      <vt:lpstr>ソルバー</vt:lpstr>
      <vt:lpstr>エクセル練習</vt:lpstr>
      <vt:lpstr>マクロ練習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2015-06-22T07:05:57Z</dcterms:modified>
</cp:coreProperties>
</file>