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" windowWidth="14940" windowHeight="11700" activeTab="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solver_adj" localSheetId="0" hidden="1">Sheet1!$B$1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Sheet1!$B$2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G18" i="6" l="1"/>
  <c r="A18" i="6"/>
  <c r="A20" i="6"/>
  <c r="A21" i="6"/>
  <c r="A23" i="6"/>
  <c r="A24" i="6"/>
  <c r="A25" i="6"/>
  <c r="A26" i="6"/>
  <c r="A27" i="6"/>
  <c r="A29" i="6"/>
  <c r="A31" i="6"/>
  <c r="A32" i="6"/>
  <c r="A33" i="6"/>
  <c r="A34" i="6"/>
  <c r="A35" i="6"/>
  <c r="A36" i="6"/>
  <c r="A39" i="6"/>
  <c r="A40" i="6"/>
  <c r="A41" i="6"/>
  <c r="I18" i="6"/>
  <c r="I19" i="6" s="1"/>
  <c r="I20" i="6" s="1"/>
  <c r="F18" i="6"/>
  <c r="H18" i="6" s="1" a="1"/>
  <c r="E18" i="6"/>
  <c r="D5" i="6"/>
  <c r="E5" i="6"/>
  <c r="B1" i="6"/>
  <c r="D1" i="6" s="1"/>
  <c r="C6" i="6"/>
  <c r="C5" i="6"/>
  <c r="C7" i="6" s="1"/>
  <c r="B5" i="6"/>
  <c r="B6" i="6" s="1"/>
  <c r="B7" i="6" s="1"/>
  <c r="B8" i="6" s="1"/>
  <c r="B9" i="6" s="1"/>
  <c r="B10" i="6" s="1"/>
  <c r="B11" i="6" s="1"/>
  <c r="B12" i="6" s="1"/>
  <c r="B13" i="6" s="1"/>
  <c r="B14" i="6" s="1"/>
  <c r="B6" i="5"/>
  <c r="D6" i="5"/>
  <c r="H18" i="6" l="1"/>
  <c r="C2" i="6"/>
  <c r="C1" i="6"/>
  <c r="D2" i="6"/>
  <c r="C8" i="6"/>
  <c r="A6" i="5"/>
  <c r="B7" i="5"/>
  <c r="B8" i="5" s="1"/>
  <c r="C6" i="5"/>
  <c r="M6" i="5"/>
  <c r="N6" i="5"/>
  <c r="W6" i="5"/>
  <c r="X6" i="5"/>
  <c r="AG6" i="5"/>
  <c r="AH6" i="5"/>
  <c r="AQ6" i="5"/>
  <c r="AR6" i="5"/>
  <c r="BA6" i="5"/>
  <c r="BB6" i="5"/>
  <c r="BB4" i="5"/>
  <c r="AR4" i="5"/>
  <c r="AH4" i="5"/>
  <c r="X4" i="5"/>
  <c r="N4" i="5"/>
  <c r="D4" i="5"/>
  <c r="B4" i="5"/>
  <c r="L6" i="4"/>
  <c r="F5" i="6" l="1" a="1"/>
  <c r="C9" i="6"/>
  <c r="F6" i="5"/>
  <c r="F28" i="5"/>
  <c r="D28" i="5"/>
  <c r="H28" i="5"/>
  <c r="E28" i="5"/>
  <c r="B9" i="5"/>
  <c r="B10" i="5" s="1"/>
  <c r="A7" i="5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B2" i="3"/>
  <c r="C5" i="3"/>
  <c r="B5" i="3"/>
  <c r="E6" i="4"/>
  <c r="E7" i="4" s="1"/>
  <c r="E8" i="4" s="1"/>
  <c r="E9" i="4" s="1"/>
  <c r="D6" i="4"/>
  <c r="C6" i="4"/>
  <c r="B1" i="3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7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A60" i="2"/>
  <c r="A61" i="2" s="1"/>
  <c r="A62" i="2" s="1"/>
  <c r="A63" i="2" s="1"/>
  <c r="A64" i="2" s="1"/>
  <c r="A65" i="2" s="1"/>
  <c r="A66" i="2" s="1"/>
  <c r="A67" i="2" s="1"/>
  <c r="A30" i="2"/>
  <c r="A31" i="2"/>
  <c r="A32" i="2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9" i="2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8" i="2"/>
  <c r="B2" i="1"/>
  <c r="G5" i="6" l="1"/>
  <c r="E6" i="6" s="1"/>
  <c r="F5" i="6"/>
  <c r="C10" i="6"/>
  <c r="BC6" i="5"/>
  <c r="BE6" i="5" s="1"/>
  <c r="E6" i="5"/>
  <c r="G6" i="5" s="1"/>
  <c r="H6" i="5" s="1"/>
  <c r="I6" i="5" s="1"/>
  <c r="J6" i="5" s="1"/>
  <c r="AS6" i="5"/>
  <c r="AU6" i="5" s="1"/>
  <c r="B28" i="5"/>
  <c r="O6" i="5"/>
  <c r="Q6" i="5" s="1"/>
  <c r="G28" i="5"/>
  <c r="AI6" i="5"/>
  <c r="AK6" i="5" s="1"/>
  <c r="Y6" i="5"/>
  <c r="AA6" i="5" s="1"/>
  <c r="C28" i="5"/>
  <c r="A8" i="5"/>
  <c r="B29" i="5"/>
  <c r="D7" i="4"/>
  <c r="D8" i="4" s="1"/>
  <c r="D9" i="4" s="1"/>
  <c r="D10" i="4" s="1"/>
  <c r="C6" i="3"/>
  <c r="B6" i="3"/>
  <c r="C10" i="3"/>
  <c r="C8" i="3"/>
  <c r="C7" i="3"/>
  <c r="B7" i="3"/>
  <c r="B8" i="3"/>
  <c r="F6" i="4"/>
  <c r="G6" i="4"/>
  <c r="E10" i="4"/>
  <c r="H5" i="6" l="1"/>
  <c r="F6" i="6" a="1"/>
  <c r="D6" i="6"/>
  <c r="C11" i="6"/>
  <c r="L6" i="5"/>
  <c r="B30" i="5"/>
  <c r="A9" i="5"/>
  <c r="B11" i="5"/>
  <c r="J6" i="4"/>
  <c r="M6" i="4" s="1"/>
  <c r="H6" i="4" s="1"/>
  <c r="I6" i="4" s="1"/>
  <c r="B7" i="4" s="1"/>
  <c r="G7" i="4" s="1"/>
  <c r="K6" i="4"/>
  <c r="B10" i="3"/>
  <c r="B11" i="3"/>
  <c r="B9" i="3"/>
  <c r="C9" i="3"/>
  <c r="C11" i="3"/>
  <c r="E11" i="4"/>
  <c r="D11" i="4"/>
  <c r="F6" i="6" l="1"/>
  <c r="D7" i="6" s="1"/>
  <c r="G6" i="6"/>
  <c r="E7" i="6" s="1"/>
  <c r="C12" i="6"/>
  <c r="K6" i="5"/>
  <c r="P6" i="5"/>
  <c r="R6" i="5" s="1"/>
  <c r="S6" i="5" s="1"/>
  <c r="T6" i="5" s="1"/>
  <c r="Z6" i="5" s="1"/>
  <c r="AB6" i="5" s="1"/>
  <c r="AC6" i="5" s="1"/>
  <c r="AD6" i="5" s="1"/>
  <c r="AJ6" i="5" s="1"/>
  <c r="AL6" i="5" s="1"/>
  <c r="AM6" i="5" s="1"/>
  <c r="AN6" i="5" s="1"/>
  <c r="AT6" i="5" s="1"/>
  <c r="AV6" i="5" s="1"/>
  <c r="AW6" i="5" s="1"/>
  <c r="AX6" i="5" s="1"/>
  <c r="BD6" i="5" s="1"/>
  <c r="BF6" i="5" s="1"/>
  <c r="BG6" i="5" s="1"/>
  <c r="BH6" i="5" s="1"/>
  <c r="B31" i="5"/>
  <c r="A10" i="5"/>
  <c r="B12" i="5"/>
  <c r="J7" i="4"/>
  <c r="B12" i="3"/>
  <c r="C12" i="3"/>
  <c r="C7" i="4"/>
  <c r="F7" i="4" s="1"/>
  <c r="L7" i="4" s="1"/>
  <c r="D12" i="4"/>
  <c r="E12" i="4"/>
  <c r="E13" i="4" s="1"/>
  <c r="F7" i="6" l="1" a="1"/>
  <c r="C13" i="6"/>
  <c r="V6" i="5"/>
  <c r="AF6" i="5" s="1"/>
  <c r="AP6" i="5" s="1"/>
  <c r="AZ6" i="5" s="1"/>
  <c r="BJ6" i="5" s="1"/>
  <c r="U6" i="5"/>
  <c r="B32" i="5"/>
  <c r="A11" i="5"/>
  <c r="B13" i="5"/>
  <c r="M7" i="4"/>
  <c r="H7" i="4" s="1"/>
  <c r="I7" i="4" s="1"/>
  <c r="C8" i="4" s="1"/>
  <c r="F8" i="4" s="1"/>
  <c r="K7" i="4"/>
  <c r="B13" i="3"/>
  <c r="C13" i="3"/>
  <c r="D13" i="4"/>
  <c r="D14" i="4" s="1"/>
  <c r="E14" i="4"/>
  <c r="C14" i="6" l="1"/>
  <c r="G7" i="6"/>
  <c r="E8" i="6" s="1"/>
  <c r="F7" i="6"/>
  <c r="AE6" i="5"/>
  <c r="AO6" i="5" s="1"/>
  <c r="AY6" i="5" s="1"/>
  <c r="BI6" i="5" s="1"/>
  <c r="B33" i="5"/>
  <c r="A12" i="5"/>
  <c r="B14" i="5"/>
  <c r="B8" i="4"/>
  <c r="G8" i="4" s="1"/>
  <c r="B14" i="3"/>
  <c r="C14" i="3"/>
  <c r="E15" i="4"/>
  <c r="E16" i="4" s="1"/>
  <c r="E17" i="4" s="1"/>
  <c r="E18" i="4" s="1"/>
  <c r="E19" i="4" s="1"/>
  <c r="D15" i="4"/>
  <c r="F8" i="6" l="1" a="1"/>
  <c r="D8" i="6"/>
  <c r="B34" i="5"/>
  <c r="A13" i="5"/>
  <c r="B15" i="5"/>
  <c r="J8" i="4"/>
  <c r="L8" i="4"/>
  <c r="K8" i="4"/>
  <c r="B15" i="3"/>
  <c r="C15" i="3"/>
  <c r="D16" i="4"/>
  <c r="D17" i="4" s="1"/>
  <c r="D18" i="4" s="1"/>
  <c r="D19" i="4" s="1"/>
  <c r="D20" i="4" s="1"/>
  <c r="E20" i="4"/>
  <c r="G8" i="6" l="1"/>
  <c r="E9" i="6" s="1"/>
  <c r="F8" i="6"/>
  <c r="B35" i="5"/>
  <c r="A14" i="5"/>
  <c r="B16" i="5"/>
  <c r="M8" i="4"/>
  <c r="H8" i="4" s="1"/>
  <c r="I8" i="4" s="1"/>
  <c r="B9" i="4" s="1"/>
  <c r="G9" i="4" s="1"/>
  <c r="B16" i="3"/>
  <c r="C16" i="3"/>
  <c r="D21" i="4"/>
  <c r="E21" i="4"/>
  <c r="F9" i="6" l="1" a="1"/>
  <c r="G9" i="6" s="1"/>
  <c r="E10" i="6" s="1"/>
  <c r="D9" i="6"/>
  <c r="B36" i="5"/>
  <c r="A15" i="5"/>
  <c r="B17" i="5"/>
  <c r="C9" i="4"/>
  <c r="F9" i="4" s="1"/>
  <c r="K9" i="4" s="1"/>
  <c r="J9" i="4"/>
  <c r="B17" i="3"/>
  <c r="C17" i="3"/>
  <c r="F9" i="6" l="1"/>
  <c r="D10" i="6" s="1"/>
  <c r="B37" i="5"/>
  <c r="A16" i="5"/>
  <c r="B18" i="5"/>
  <c r="L9" i="4"/>
  <c r="M9" i="4" s="1"/>
  <c r="H9" i="4" s="1"/>
  <c r="I9" i="4" s="1"/>
  <c r="B10" i="4" s="1"/>
  <c r="G10" i="4" s="1"/>
  <c r="B18" i="3"/>
  <c r="C18" i="3"/>
  <c r="F10" i="6" l="1" a="1"/>
  <c r="G10" i="6" s="1"/>
  <c r="E11" i="6" s="1"/>
  <c r="B38" i="5"/>
  <c r="A17" i="5"/>
  <c r="B19" i="5"/>
  <c r="J10" i="4"/>
  <c r="C10" i="4"/>
  <c r="F10" i="4" s="1"/>
  <c r="L10" i="4" s="1"/>
  <c r="B19" i="3"/>
  <c r="C19" i="3"/>
  <c r="F10" i="6" l="1"/>
  <c r="D11" i="6" s="1"/>
  <c r="B39" i="5"/>
  <c r="A18" i="5"/>
  <c r="B20" i="5"/>
  <c r="B21" i="5" s="1"/>
  <c r="M10" i="4"/>
  <c r="H10" i="4" s="1"/>
  <c r="I10" i="4" s="1"/>
  <c r="C11" i="4" s="1"/>
  <c r="F11" i="4" s="1"/>
  <c r="K10" i="4"/>
  <c r="C20" i="3"/>
  <c r="B20" i="3"/>
  <c r="F11" i="6" l="1" a="1"/>
  <c r="G11" i="6" s="1"/>
  <c r="E12" i="6" s="1"/>
  <c r="B40" i="5"/>
  <c r="A19" i="5"/>
  <c r="B22" i="5"/>
  <c r="B11" i="4"/>
  <c r="G11" i="4" s="1"/>
  <c r="L11" i="4" s="1"/>
  <c r="C21" i="3"/>
  <c r="B21" i="3"/>
  <c r="F11" i="6" l="1"/>
  <c r="D12" i="6" s="1"/>
  <c r="B41" i="5"/>
  <c r="A20" i="5"/>
  <c r="B23" i="5"/>
  <c r="K11" i="4"/>
  <c r="J11" i="4"/>
  <c r="M11" i="4" s="1"/>
  <c r="H11" i="4" s="1"/>
  <c r="I11" i="4" s="1"/>
  <c r="C12" i="4" s="1"/>
  <c r="F12" i="4" s="1"/>
  <c r="C22" i="3"/>
  <c r="B22" i="3"/>
  <c r="F12" i="6" l="1" a="1"/>
  <c r="B42" i="5"/>
  <c r="A21" i="5"/>
  <c r="B24" i="5"/>
  <c r="B12" i="4"/>
  <c r="G12" i="4" s="1"/>
  <c r="J12" i="4" s="1"/>
  <c r="C23" i="3"/>
  <c r="B23" i="3"/>
  <c r="G12" i="6" l="1"/>
  <c r="E13" i="6" s="1"/>
  <c r="F12" i="6"/>
  <c r="B43" i="5"/>
  <c r="A22" i="5"/>
  <c r="B25" i="5"/>
  <c r="K12" i="4"/>
  <c r="L12" i="4"/>
  <c r="M12" i="4" s="1"/>
  <c r="H12" i="4" s="1"/>
  <c r="I12" i="4" s="1"/>
  <c r="B13" i="4" s="1"/>
  <c r="G13" i="4" s="1"/>
  <c r="B24" i="3"/>
  <c r="C24" i="3"/>
  <c r="F13" i="6" l="1" a="1"/>
  <c r="D13" i="6"/>
  <c r="B44" i="5"/>
  <c r="A23" i="5"/>
  <c r="J13" i="4"/>
  <c r="C13" i="4"/>
  <c r="F13" i="4" s="1"/>
  <c r="K13" i="4" s="1"/>
  <c r="C25" i="3"/>
  <c r="B25" i="3"/>
  <c r="G13" i="6" l="1"/>
  <c r="E14" i="6" s="1"/>
  <c r="F13" i="6"/>
  <c r="B45" i="5"/>
  <c r="A24" i="5"/>
  <c r="L13" i="4"/>
  <c r="M13" i="4" s="1"/>
  <c r="H13" i="4" s="1"/>
  <c r="I13" i="4" s="1"/>
  <c r="B14" i="4" s="1"/>
  <c r="G14" i="4" s="1"/>
  <c r="F14" i="6" l="1" a="1"/>
  <c r="D14" i="6"/>
  <c r="B46" i="5"/>
  <c r="A25" i="5"/>
  <c r="J14" i="4"/>
  <c r="C14" i="4"/>
  <c r="F14" i="4" s="1"/>
  <c r="K14" i="4" s="1"/>
  <c r="G14" i="6" l="1"/>
  <c r="F14" i="6"/>
  <c r="B47" i="5"/>
  <c r="L14" i="4"/>
  <c r="M14" i="4" s="1"/>
  <c r="H14" i="4" s="1"/>
  <c r="I14" i="4" s="1"/>
  <c r="C15" i="4" s="1"/>
  <c r="F15" i="4" s="1"/>
  <c r="B15" i="4" l="1"/>
  <c r="G15" i="4" s="1"/>
  <c r="J15" i="4" l="1"/>
  <c r="L15" i="4"/>
  <c r="K15" i="4"/>
  <c r="M15" i="4" l="1"/>
  <c r="H15" i="4" s="1"/>
  <c r="I15" i="4" s="1"/>
  <c r="C16" i="4" s="1"/>
  <c r="F16" i="4" s="1"/>
  <c r="B16" i="4" l="1"/>
  <c r="G16" i="4" s="1"/>
  <c r="J16" i="4" s="1"/>
  <c r="L16" i="4" l="1"/>
  <c r="M16" i="4" s="1"/>
  <c r="H16" i="4" s="1"/>
  <c r="I16" i="4" s="1"/>
  <c r="C17" i="4" s="1"/>
  <c r="F17" i="4" s="1"/>
  <c r="K16" i="4"/>
  <c r="B17" i="4" l="1"/>
  <c r="G17" i="4" s="1"/>
  <c r="L17" i="4" s="1"/>
  <c r="J17" i="4" l="1"/>
  <c r="M17" i="4" s="1"/>
  <c r="H17" i="4" s="1"/>
  <c r="I17" i="4" s="1"/>
  <c r="K17" i="4"/>
  <c r="C18" i="4" l="1"/>
  <c r="F18" i="4" s="1"/>
  <c r="B18" i="4"/>
  <c r="G18" i="4" s="1"/>
  <c r="L18" i="4" l="1"/>
  <c r="K18" i="4"/>
  <c r="J18" i="4"/>
  <c r="M18" i="4" l="1"/>
  <c r="H18" i="4" s="1"/>
  <c r="I18" i="4" s="1"/>
  <c r="B19" i="4" l="1"/>
  <c r="C19" i="4"/>
  <c r="F19" i="4" s="1"/>
  <c r="G19" i="4" l="1"/>
  <c r="L19" i="4" s="1"/>
  <c r="J19" i="4" l="1"/>
  <c r="K19" i="4"/>
  <c r="M19" i="4" l="1"/>
  <c r="H19" i="4" s="1"/>
  <c r="I19" i="4" s="1"/>
  <c r="C20" i="4" l="1"/>
  <c r="F20" i="4" s="1"/>
  <c r="B20" i="4"/>
  <c r="G20" i="4" l="1"/>
  <c r="L20" i="4" s="1"/>
  <c r="J20" i="4" l="1"/>
  <c r="K20" i="4"/>
  <c r="M20" i="4" l="1"/>
  <c r="H20" i="4" s="1"/>
  <c r="I20" i="4" s="1"/>
  <c r="B21" i="4" s="1"/>
  <c r="G21" i="4" s="1"/>
  <c r="C21" i="4" l="1"/>
  <c r="F21" i="4" s="1"/>
  <c r="K21" i="4" s="1"/>
  <c r="J21" i="4"/>
  <c r="L21" i="4" l="1"/>
  <c r="M21" i="4" s="1"/>
  <c r="H21" i="4" s="1"/>
  <c r="I21" i="4" s="1"/>
  <c r="D7" i="5" l="1"/>
  <c r="F7" i="5" s="1"/>
  <c r="C7" i="5"/>
  <c r="C29" i="5" l="1"/>
  <c r="E7" i="5"/>
  <c r="G7" i="5" s="1"/>
  <c r="H7" i="5" s="1"/>
  <c r="I7" i="5" s="1"/>
  <c r="J7" i="5" s="1"/>
  <c r="L7" i="5" s="1"/>
  <c r="N7" i="5" l="1"/>
  <c r="P7" i="5" s="1"/>
  <c r="M7" i="5"/>
  <c r="K7" i="5"/>
  <c r="D8" i="5" l="1"/>
  <c r="F8" i="5" s="1"/>
  <c r="C8" i="5"/>
  <c r="O7" i="5"/>
  <c r="Q7" i="5" s="1"/>
  <c r="R7" i="5" s="1"/>
  <c r="S7" i="5" s="1"/>
  <c r="T7" i="5" s="1"/>
  <c r="N8" i="5" s="1"/>
  <c r="D29" i="5"/>
  <c r="X7" i="5"/>
  <c r="W7" i="5"/>
  <c r="V7" i="5" l="1"/>
  <c r="C30" i="5"/>
  <c r="Z7" i="5"/>
  <c r="U7" i="5"/>
  <c r="AH7" i="5"/>
  <c r="AG7" i="5"/>
  <c r="E29" i="5"/>
  <c r="Y7" i="5"/>
  <c r="AA7" i="5" s="1"/>
  <c r="E8" i="5"/>
  <c r="G8" i="5" s="1"/>
  <c r="H8" i="5" s="1"/>
  <c r="I8" i="5" s="1"/>
  <c r="J8" i="5" s="1"/>
  <c r="K8" i="5" s="1"/>
  <c r="M8" i="5" l="1"/>
  <c r="O8" i="5" s="1"/>
  <c r="Q8" i="5" s="1"/>
  <c r="L8" i="5"/>
  <c r="AI7" i="5"/>
  <c r="AK7" i="5" s="1"/>
  <c r="AB7" i="5"/>
  <c r="AC7" i="5" s="1"/>
  <c r="AD7" i="5" s="1"/>
  <c r="AF7" i="5" s="1"/>
  <c r="AR7" i="5"/>
  <c r="AQ7" i="5"/>
  <c r="F29" i="5"/>
  <c r="P8" i="5"/>
  <c r="D30" i="5" l="1"/>
  <c r="R8" i="5"/>
  <c r="S8" i="5" s="1"/>
  <c r="T8" i="5" s="1"/>
  <c r="N9" i="5" s="1"/>
  <c r="D9" i="5"/>
  <c r="F9" i="5" s="1"/>
  <c r="C9" i="5"/>
  <c r="AJ7" i="5"/>
  <c r="AL7" i="5" s="1"/>
  <c r="AM7" i="5" s="1"/>
  <c r="AN7" i="5" s="1"/>
  <c r="AP7" i="5" s="1"/>
  <c r="AE7" i="5"/>
  <c r="BB7" i="5"/>
  <c r="BA7" i="5"/>
  <c r="BC7" i="5" s="1"/>
  <c r="BE7" i="5" s="1"/>
  <c r="G29" i="5"/>
  <c r="AS7" i="5"/>
  <c r="AU7" i="5" s="1"/>
  <c r="V8" i="5" l="1"/>
  <c r="U8" i="5"/>
  <c r="AO7" i="5"/>
  <c r="X8" i="5"/>
  <c r="Z8" i="5" s="1"/>
  <c r="W8" i="5"/>
  <c r="AT7" i="5"/>
  <c r="AV7" i="5" s="1"/>
  <c r="AW7" i="5" s="1"/>
  <c r="AX7" i="5" s="1"/>
  <c r="AZ7" i="5" s="1"/>
  <c r="H29" i="5"/>
  <c r="E9" i="5"/>
  <c r="G9" i="5" s="1"/>
  <c r="H9" i="5" s="1"/>
  <c r="I9" i="5" s="1"/>
  <c r="J9" i="5" s="1"/>
  <c r="P9" i="5" s="1"/>
  <c r="C31" i="5"/>
  <c r="M9" i="5" l="1"/>
  <c r="O9" i="5" s="1"/>
  <c r="Q9" i="5" s="1"/>
  <c r="R9" i="5" s="1"/>
  <c r="S9" i="5" s="1"/>
  <c r="T9" i="5" s="1"/>
  <c r="N10" i="5" s="1"/>
  <c r="AQ8" i="5"/>
  <c r="L9" i="5"/>
  <c r="E30" i="5"/>
  <c r="Y8" i="5"/>
  <c r="AA8" i="5" s="1"/>
  <c r="AB8" i="5" s="1"/>
  <c r="AC8" i="5" s="1"/>
  <c r="AD8" i="5" s="1"/>
  <c r="AF8" i="5" s="1"/>
  <c r="BD7" i="5"/>
  <c r="BF7" i="5" s="1"/>
  <c r="BG7" i="5" s="1"/>
  <c r="BH7" i="5" s="1"/>
  <c r="BJ7" i="5" s="1"/>
  <c r="AY7" i="5"/>
  <c r="AH8" i="5"/>
  <c r="AG8" i="5"/>
  <c r="K9" i="5"/>
  <c r="G30" i="5" l="1"/>
  <c r="D31" i="5"/>
  <c r="V9" i="5"/>
  <c r="M10" i="5" s="1"/>
  <c r="BA8" i="5"/>
  <c r="D10" i="5"/>
  <c r="F10" i="5" s="1"/>
  <c r="C10" i="5"/>
  <c r="BI7" i="5"/>
  <c r="AE8" i="5"/>
  <c r="AJ8" i="5"/>
  <c r="AR8" i="5"/>
  <c r="AI8" i="5"/>
  <c r="AK8" i="5" s="1"/>
  <c r="F30" i="5"/>
  <c r="AS8" i="5"/>
  <c r="AU8" i="5" s="1"/>
  <c r="U9" i="5"/>
  <c r="D32" i="5" l="1"/>
  <c r="BB8" i="5"/>
  <c r="AL8" i="5"/>
  <c r="AM8" i="5" s="1"/>
  <c r="AN8" i="5" s="1"/>
  <c r="C32" i="5"/>
  <c r="X9" i="5"/>
  <c r="Z9" i="5" s="1"/>
  <c r="W9" i="5"/>
  <c r="H30" i="5"/>
  <c r="BC8" i="5"/>
  <c r="BE8" i="5" s="1"/>
  <c r="O10" i="5"/>
  <c r="Q10" i="5" s="1"/>
  <c r="E10" i="5"/>
  <c r="G10" i="5" s="1"/>
  <c r="H10" i="5" s="1"/>
  <c r="I10" i="5" s="1"/>
  <c r="J10" i="5" s="1"/>
  <c r="K10" i="5" s="1"/>
  <c r="AO8" i="5" l="1"/>
  <c r="AP8" i="5"/>
  <c r="L10" i="5"/>
  <c r="AT8" i="5"/>
  <c r="AV8" i="5" s="1"/>
  <c r="AW8" i="5" s="1"/>
  <c r="AX8" i="5" s="1"/>
  <c r="BD8" i="5" s="1"/>
  <c r="BF8" i="5" s="1"/>
  <c r="BG8" i="5" s="1"/>
  <c r="BH8" i="5" s="1"/>
  <c r="Y9" i="5"/>
  <c r="AA9" i="5" s="1"/>
  <c r="AB9" i="5" s="1"/>
  <c r="AC9" i="5" s="1"/>
  <c r="AD9" i="5" s="1"/>
  <c r="AF9" i="5" s="1"/>
  <c r="E31" i="5"/>
  <c r="P10" i="5"/>
  <c r="R10" i="5" s="1"/>
  <c r="S10" i="5" s="1"/>
  <c r="T10" i="5" s="1"/>
  <c r="N11" i="5" s="1"/>
  <c r="AZ8" i="5" l="1"/>
  <c r="BJ8" i="5" s="1"/>
  <c r="V10" i="5"/>
  <c r="AH9" i="5"/>
  <c r="AJ9" i="5" s="1"/>
  <c r="AY8" i="5"/>
  <c r="AG9" i="5"/>
  <c r="D11" i="5"/>
  <c r="F11" i="5" s="1"/>
  <c r="C11" i="5"/>
  <c r="AE9" i="5"/>
  <c r="U10" i="5"/>
  <c r="AQ9" i="5" l="1"/>
  <c r="G31" i="5" s="1"/>
  <c r="AI9" i="5"/>
  <c r="AK9" i="5" s="1"/>
  <c r="AL9" i="5" s="1"/>
  <c r="AM9" i="5" s="1"/>
  <c r="AN9" i="5" s="1"/>
  <c r="M11" i="5"/>
  <c r="O11" i="5" s="1"/>
  <c r="Q11" i="5" s="1"/>
  <c r="BB9" i="5"/>
  <c r="F31" i="5"/>
  <c r="AR9" i="5"/>
  <c r="BI8" i="5"/>
  <c r="C33" i="5"/>
  <c r="E11" i="5"/>
  <c r="G11" i="5" s="1"/>
  <c r="H11" i="5" s="1"/>
  <c r="I11" i="5" s="1"/>
  <c r="J11" i="5" s="1"/>
  <c r="L11" i="5" s="1"/>
  <c r="X10" i="5"/>
  <c r="Z10" i="5" s="1"/>
  <c r="W10" i="5"/>
  <c r="AS9" i="5" l="1"/>
  <c r="AU9" i="5" s="1"/>
  <c r="AO9" i="5"/>
  <c r="AP9" i="5"/>
  <c r="D33" i="5"/>
  <c r="AT9" i="5"/>
  <c r="BA9" i="5"/>
  <c r="H31" i="5" s="1"/>
  <c r="K11" i="5"/>
  <c r="Y10" i="5"/>
  <c r="AA10" i="5" s="1"/>
  <c r="AB10" i="5" s="1"/>
  <c r="AC10" i="5" s="1"/>
  <c r="AD10" i="5" s="1"/>
  <c r="AF10" i="5" s="1"/>
  <c r="E32" i="5"/>
  <c r="P11" i="5"/>
  <c r="R11" i="5" s="1"/>
  <c r="S11" i="5" s="1"/>
  <c r="T11" i="5" l="1"/>
  <c r="N12" i="5" s="1"/>
  <c r="AV9" i="5"/>
  <c r="AW9" i="5" s="1"/>
  <c r="AX9" i="5" s="1"/>
  <c r="BD9" i="5" s="1"/>
  <c r="AG10" i="5"/>
  <c r="F32" i="5" s="1"/>
  <c r="AH10" i="5"/>
  <c r="AJ10" i="5" s="1"/>
  <c r="BC9" i="5"/>
  <c r="BE9" i="5" s="1"/>
  <c r="D12" i="5"/>
  <c r="F12" i="5" s="1"/>
  <c r="C12" i="5"/>
  <c r="X11" i="5"/>
  <c r="W11" i="5"/>
  <c r="AE10" i="5"/>
  <c r="U11" i="5" l="1"/>
  <c r="Z11" i="5"/>
  <c r="V11" i="5"/>
  <c r="M12" i="5" s="1"/>
  <c r="O12" i="5" s="1"/>
  <c r="Q12" i="5" s="1"/>
  <c r="BF9" i="5"/>
  <c r="BG9" i="5" s="1"/>
  <c r="BH9" i="5" s="1"/>
  <c r="AZ9" i="5"/>
  <c r="AY9" i="5"/>
  <c r="AI10" i="5"/>
  <c r="AK10" i="5" s="1"/>
  <c r="AL10" i="5" s="1"/>
  <c r="AM10" i="5" s="1"/>
  <c r="AN10" i="5" s="1"/>
  <c r="AP10" i="5" s="1"/>
  <c r="E12" i="5"/>
  <c r="G12" i="5" s="1"/>
  <c r="H12" i="5" s="1"/>
  <c r="I12" i="5" s="1"/>
  <c r="J12" i="5" s="1"/>
  <c r="K12" i="5" s="1"/>
  <c r="Y11" i="5"/>
  <c r="AA11" i="5" s="1"/>
  <c r="E33" i="5"/>
  <c r="C34" i="5"/>
  <c r="AB11" i="5" l="1"/>
  <c r="AC11" i="5" s="1"/>
  <c r="AD11" i="5" s="1"/>
  <c r="AF11" i="5" s="1"/>
  <c r="X12" i="5" s="1"/>
  <c r="D34" i="5"/>
  <c r="BJ9" i="5"/>
  <c r="BB10" i="5" s="1"/>
  <c r="BI9" i="5"/>
  <c r="AQ10" i="5"/>
  <c r="G32" i="5" s="1"/>
  <c r="AR10" i="5"/>
  <c r="AT10" i="5" s="1"/>
  <c r="AO10" i="5"/>
  <c r="L12" i="5"/>
  <c r="AH11" i="5"/>
  <c r="AG11" i="5"/>
  <c r="P12" i="5"/>
  <c r="R12" i="5" s="1"/>
  <c r="S12" i="5" s="1"/>
  <c r="T12" i="5" s="1"/>
  <c r="N13" i="5" s="1"/>
  <c r="AE11" i="5" l="1"/>
  <c r="AJ11" i="5"/>
  <c r="AS10" i="5"/>
  <c r="AU10" i="5" s="1"/>
  <c r="AV10" i="5" s="1"/>
  <c r="AW10" i="5" s="1"/>
  <c r="AX10" i="5" s="1"/>
  <c r="BA10" i="5"/>
  <c r="H32" i="5" s="1"/>
  <c r="V12" i="5"/>
  <c r="D13" i="5"/>
  <c r="F13" i="5" s="1"/>
  <c r="C13" i="5"/>
  <c r="W12" i="5"/>
  <c r="F33" i="5"/>
  <c r="AI11" i="5"/>
  <c r="AK11" i="5" s="1"/>
  <c r="Z12" i="5"/>
  <c r="U12" i="5"/>
  <c r="AL11" i="5" l="1"/>
  <c r="AM11" i="5" s="1"/>
  <c r="AN11" i="5" s="1"/>
  <c r="AP11" i="5" s="1"/>
  <c r="BC10" i="5"/>
  <c r="BE10" i="5" s="1"/>
  <c r="BD10" i="5"/>
  <c r="AZ10" i="5"/>
  <c r="AQ11" i="5" s="1"/>
  <c r="Y12" i="5"/>
  <c r="AA12" i="5" s="1"/>
  <c r="AB12" i="5" s="1"/>
  <c r="AC12" i="5" s="1"/>
  <c r="AD12" i="5" s="1"/>
  <c r="AF12" i="5" s="1"/>
  <c r="M13" i="5"/>
  <c r="O13" i="5" s="1"/>
  <c r="Q13" i="5" s="1"/>
  <c r="AY10" i="5"/>
  <c r="E34" i="5"/>
  <c r="C35" i="5"/>
  <c r="E13" i="5"/>
  <c r="G13" i="5" s="1"/>
  <c r="H13" i="5" s="1"/>
  <c r="I13" i="5" s="1"/>
  <c r="J13" i="5" s="1"/>
  <c r="L13" i="5" s="1"/>
  <c r="AO11" i="5" l="1"/>
  <c r="BF10" i="5"/>
  <c r="BG10" i="5" s="1"/>
  <c r="BH10" i="5" s="1"/>
  <c r="BJ10" i="5" s="1"/>
  <c r="BB11" i="5" s="1"/>
  <c r="G33" i="5"/>
  <c r="D35" i="5"/>
  <c r="AR11" i="5"/>
  <c r="AT11" i="5" s="1"/>
  <c r="D14" i="5"/>
  <c r="F14" i="5" s="1"/>
  <c r="AS11" i="5"/>
  <c r="AU11" i="5" s="1"/>
  <c r="AE12" i="5"/>
  <c r="C14" i="5"/>
  <c r="X13" i="5"/>
  <c r="W13" i="5"/>
  <c r="AH12" i="5"/>
  <c r="AJ12" i="5" s="1"/>
  <c r="AG12" i="5"/>
  <c r="P13" i="5"/>
  <c r="R13" i="5" s="1"/>
  <c r="S13" i="5" s="1"/>
  <c r="T13" i="5" s="1"/>
  <c r="V13" i="5" s="1"/>
  <c r="K13" i="5"/>
  <c r="BI10" i="5" l="1"/>
  <c r="AV11" i="5"/>
  <c r="AW11" i="5" s="1"/>
  <c r="AX11" i="5" s="1"/>
  <c r="AZ11" i="5" s="1"/>
  <c r="BA11" i="5"/>
  <c r="H33" i="5" s="1"/>
  <c r="M14" i="5"/>
  <c r="C36" i="5"/>
  <c r="E14" i="5"/>
  <c r="G14" i="5" s="1"/>
  <c r="H14" i="5" s="1"/>
  <c r="I14" i="5" s="1"/>
  <c r="J14" i="5" s="1"/>
  <c r="L14" i="5" s="1"/>
  <c r="E35" i="5"/>
  <c r="Y13" i="5"/>
  <c r="AA13" i="5" s="1"/>
  <c r="F34" i="5"/>
  <c r="AI12" i="5"/>
  <c r="AK12" i="5" s="1"/>
  <c r="AL12" i="5" s="1"/>
  <c r="AM12" i="5" s="1"/>
  <c r="AN12" i="5" s="1"/>
  <c r="AP12" i="5" s="1"/>
  <c r="Z13" i="5"/>
  <c r="N14" i="5"/>
  <c r="U13" i="5"/>
  <c r="O14" i="5" l="1"/>
  <c r="Q14" i="5" s="1"/>
  <c r="BC11" i="5"/>
  <c r="BE11" i="5" s="1"/>
  <c r="BD11" i="5"/>
  <c r="AY11" i="5"/>
  <c r="D15" i="5"/>
  <c r="F15" i="5" s="1"/>
  <c r="K14" i="5"/>
  <c r="P14" i="5"/>
  <c r="AB13" i="5"/>
  <c r="AC13" i="5" s="1"/>
  <c r="AD13" i="5" s="1"/>
  <c r="AO12" i="5"/>
  <c r="AQ12" i="5"/>
  <c r="AR12" i="5"/>
  <c r="AT12" i="5" s="1"/>
  <c r="D36" i="5"/>
  <c r="R14" i="5" l="1"/>
  <c r="S14" i="5" s="1"/>
  <c r="T14" i="5" s="1"/>
  <c r="N15" i="5" s="1"/>
  <c r="AE13" i="5"/>
  <c r="AF13" i="5"/>
  <c r="BF11" i="5"/>
  <c r="BG11" i="5" s="1"/>
  <c r="BH11" i="5" s="1"/>
  <c r="C15" i="5"/>
  <c r="AH13" i="5"/>
  <c r="AJ13" i="5" s="1"/>
  <c r="AG13" i="5"/>
  <c r="AS12" i="5"/>
  <c r="AU12" i="5" s="1"/>
  <c r="AV12" i="5" s="1"/>
  <c r="AW12" i="5" s="1"/>
  <c r="AX12" i="5" s="1"/>
  <c r="AZ12" i="5" s="1"/>
  <c r="G34" i="5"/>
  <c r="BJ11" i="5" l="1"/>
  <c r="BB12" i="5" s="1"/>
  <c r="BD12" i="5" s="1"/>
  <c r="V14" i="5"/>
  <c r="M15" i="5" s="1"/>
  <c r="D37" i="5" s="1"/>
  <c r="X14" i="5"/>
  <c r="Z14" i="5" s="1"/>
  <c r="U14" i="5"/>
  <c r="C37" i="5"/>
  <c r="BI11" i="5"/>
  <c r="E15" i="5"/>
  <c r="G15" i="5" s="1"/>
  <c r="H15" i="5" s="1"/>
  <c r="I15" i="5" s="1"/>
  <c r="J15" i="5" s="1"/>
  <c r="P15" i="5" s="1"/>
  <c r="W14" i="5"/>
  <c r="AY12" i="5"/>
  <c r="F35" i="5"/>
  <c r="AI13" i="5"/>
  <c r="AK13" i="5" s="1"/>
  <c r="AL13" i="5" s="1"/>
  <c r="AM13" i="5" s="1"/>
  <c r="AN13" i="5" s="1"/>
  <c r="AP13" i="5" s="1"/>
  <c r="O15" i="5" l="1"/>
  <c r="Q15" i="5" s="1"/>
  <c r="R15" i="5" s="1"/>
  <c r="S15" i="5" s="1"/>
  <c r="T15" i="5" s="1"/>
  <c r="N16" i="5" s="1"/>
  <c r="BA12" i="5"/>
  <c r="BC12" i="5" s="1"/>
  <c r="BE12" i="5" s="1"/>
  <c r="BF12" i="5" s="1"/>
  <c r="BG12" i="5" s="1"/>
  <c r="BH12" i="5" s="1"/>
  <c r="BI12" i="5" s="1"/>
  <c r="Y14" i="5"/>
  <c r="AA14" i="5" s="1"/>
  <c r="AB14" i="5" s="1"/>
  <c r="AC14" i="5" s="1"/>
  <c r="AD14" i="5" s="1"/>
  <c r="AE14" i="5" s="1"/>
  <c r="AO13" i="5"/>
  <c r="K15" i="5"/>
  <c r="E36" i="5"/>
  <c r="L15" i="5"/>
  <c r="AQ13" i="5"/>
  <c r="AR13" i="5"/>
  <c r="AT13" i="5" s="1"/>
  <c r="H34" i="5" l="1"/>
  <c r="BJ12" i="5"/>
  <c r="BB13" i="5" s="1"/>
  <c r="AF14" i="5"/>
  <c r="D16" i="5"/>
  <c r="F16" i="5" s="1"/>
  <c r="V15" i="5"/>
  <c r="U15" i="5"/>
  <c r="C16" i="5"/>
  <c r="G35" i="5"/>
  <c r="AS13" i="5"/>
  <c r="AU13" i="5" s="1"/>
  <c r="AV13" i="5" s="1"/>
  <c r="AW13" i="5" s="1"/>
  <c r="AX13" i="5" s="1"/>
  <c r="AY13" i="5" s="1"/>
  <c r="AH14" i="5"/>
  <c r="AJ14" i="5" s="1"/>
  <c r="AG14" i="5"/>
  <c r="AZ13" i="5" l="1"/>
  <c r="W15" i="5"/>
  <c r="E37" i="5" s="1"/>
  <c r="X15" i="5"/>
  <c r="Z15" i="5" s="1"/>
  <c r="M16" i="5"/>
  <c r="E16" i="5"/>
  <c r="G16" i="5" s="1"/>
  <c r="H16" i="5" s="1"/>
  <c r="I16" i="5" s="1"/>
  <c r="J16" i="5" s="1"/>
  <c r="K16" i="5" s="1"/>
  <c r="BA13" i="5"/>
  <c r="H35" i="5" s="1"/>
  <c r="C38" i="5"/>
  <c r="BD13" i="5"/>
  <c r="F36" i="5"/>
  <c r="AI14" i="5"/>
  <c r="AK14" i="5" s="1"/>
  <c r="AL14" i="5" s="1"/>
  <c r="AM14" i="5" s="1"/>
  <c r="AN14" i="5" s="1"/>
  <c r="AP14" i="5" s="1"/>
  <c r="Y15" i="5" l="1"/>
  <c r="AA15" i="5" s="1"/>
  <c r="AB15" i="5" s="1"/>
  <c r="AC15" i="5" s="1"/>
  <c r="AD15" i="5" s="1"/>
  <c r="AF15" i="5" s="1"/>
  <c r="X16" i="5" s="1"/>
  <c r="P16" i="5"/>
  <c r="O16" i="5"/>
  <c r="Q16" i="5" s="1"/>
  <c r="D38" i="5"/>
  <c r="L16" i="5"/>
  <c r="BC13" i="5"/>
  <c r="BE13" i="5" s="1"/>
  <c r="BF13" i="5" s="1"/>
  <c r="BG13" i="5" s="1"/>
  <c r="BH13" i="5" s="1"/>
  <c r="BJ13" i="5" s="1"/>
  <c r="AO14" i="5"/>
  <c r="AR14" i="5"/>
  <c r="AT14" i="5" s="1"/>
  <c r="AQ14" i="5"/>
  <c r="AE15" i="5" l="1"/>
  <c r="R16" i="5"/>
  <c r="S16" i="5" s="1"/>
  <c r="T16" i="5" s="1"/>
  <c r="N17" i="5" s="1"/>
  <c r="C17" i="5"/>
  <c r="D17" i="5"/>
  <c r="F17" i="5" s="1"/>
  <c r="BI13" i="5"/>
  <c r="BB14" i="5"/>
  <c r="W16" i="5"/>
  <c r="AS14" i="5"/>
  <c r="AU14" i="5" s="1"/>
  <c r="AV14" i="5" s="1"/>
  <c r="AW14" i="5" s="1"/>
  <c r="AX14" i="5" s="1"/>
  <c r="AZ14" i="5" s="1"/>
  <c r="G36" i="5"/>
  <c r="AH15" i="5"/>
  <c r="AJ15" i="5" s="1"/>
  <c r="AG15" i="5"/>
  <c r="V16" i="5" l="1"/>
  <c r="M17" i="5" s="1"/>
  <c r="D39" i="5" s="1"/>
  <c r="Z16" i="5"/>
  <c r="U16" i="5"/>
  <c r="E38" i="5"/>
  <c r="C39" i="5"/>
  <c r="E17" i="5"/>
  <c r="G17" i="5" s="1"/>
  <c r="H17" i="5" s="1"/>
  <c r="I17" i="5" s="1"/>
  <c r="J17" i="5" s="1"/>
  <c r="K17" i="5" s="1"/>
  <c r="Y16" i="5"/>
  <c r="AA16" i="5" s="1"/>
  <c r="BD14" i="5"/>
  <c r="BA14" i="5"/>
  <c r="H36" i="5" s="1"/>
  <c r="AI15" i="5"/>
  <c r="AK15" i="5" s="1"/>
  <c r="AL15" i="5" s="1"/>
  <c r="AM15" i="5" s="1"/>
  <c r="AN15" i="5" s="1"/>
  <c r="AP15" i="5" s="1"/>
  <c r="F37" i="5"/>
  <c r="AY14" i="5"/>
  <c r="AB16" i="5" l="1"/>
  <c r="AC16" i="5" s="1"/>
  <c r="AD16" i="5" s="1"/>
  <c r="AF16" i="5" s="1"/>
  <c r="L17" i="5"/>
  <c r="D18" i="5" s="1"/>
  <c r="F18" i="5" s="1"/>
  <c r="O17" i="5"/>
  <c r="Q17" i="5" s="1"/>
  <c r="P17" i="5"/>
  <c r="BC14" i="5"/>
  <c r="BE14" i="5" s="1"/>
  <c r="BF14" i="5" s="1"/>
  <c r="BG14" i="5" s="1"/>
  <c r="BH14" i="5" s="1"/>
  <c r="BJ14" i="5" s="1"/>
  <c r="AO15" i="5"/>
  <c r="AR15" i="5"/>
  <c r="AT15" i="5" s="1"/>
  <c r="AQ15" i="5"/>
  <c r="W17" i="5" l="1"/>
  <c r="E39" i="5" s="1"/>
  <c r="X17" i="5"/>
  <c r="AE16" i="5"/>
  <c r="C18" i="5"/>
  <c r="C40" i="5" s="1"/>
  <c r="R17" i="5"/>
  <c r="S17" i="5" s="1"/>
  <c r="T17" i="5" s="1"/>
  <c r="N18" i="5" s="1"/>
  <c r="BI14" i="5"/>
  <c r="BA15" i="5"/>
  <c r="AH16" i="5"/>
  <c r="AJ16" i="5" s="1"/>
  <c r="AG16" i="5"/>
  <c r="AS15" i="5"/>
  <c r="AU15" i="5" s="1"/>
  <c r="AV15" i="5" s="1"/>
  <c r="AW15" i="5" s="1"/>
  <c r="AX15" i="5" s="1"/>
  <c r="AZ15" i="5" s="1"/>
  <c r="G37" i="5"/>
  <c r="E18" i="5" l="1"/>
  <c r="G18" i="5" s="1"/>
  <c r="H18" i="5" s="1"/>
  <c r="I18" i="5" s="1"/>
  <c r="J18" i="5" s="1"/>
  <c r="K18" i="5" s="1"/>
  <c r="Y17" i="5"/>
  <c r="AA17" i="5" s="1"/>
  <c r="V17" i="5"/>
  <c r="M18" i="5" s="1"/>
  <c r="Z17" i="5"/>
  <c r="U17" i="5"/>
  <c r="BB15" i="5"/>
  <c r="BD15" i="5" s="1"/>
  <c r="AY15" i="5"/>
  <c r="F38" i="5"/>
  <c r="AI16" i="5"/>
  <c r="AK16" i="5" s="1"/>
  <c r="AL16" i="5" s="1"/>
  <c r="AM16" i="5" s="1"/>
  <c r="AN16" i="5" s="1"/>
  <c r="AP16" i="5" s="1"/>
  <c r="BC15" i="5"/>
  <c r="BE15" i="5" s="1"/>
  <c r="H37" i="5"/>
  <c r="P18" i="5" l="1"/>
  <c r="L18" i="5"/>
  <c r="C19" i="5" s="1"/>
  <c r="E19" i="5" s="1"/>
  <c r="G19" i="5" s="1"/>
  <c r="AB17" i="5"/>
  <c r="AC17" i="5" s="1"/>
  <c r="AD17" i="5" s="1"/>
  <c r="AF17" i="5" s="1"/>
  <c r="W18" i="5" s="1"/>
  <c r="Y18" i="5" s="1"/>
  <c r="AA18" i="5" s="1"/>
  <c r="D40" i="5"/>
  <c r="O18" i="5"/>
  <c r="Q18" i="5" s="1"/>
  <c r="BF15" i="5"/>
  <c r="BG15" i="5" s="1"/>
  <c r="BH15" i="5" s="1"/>
  <c r="BJ15" i="5" s="1"/>
  <c r="AH17" i="5"/>
  <c r="AO16" i="5"/>
  <c r="AQ16" i="5"/>
  <c r="AR16" i="5"/>
  <c r="AT16" i="5" s="1"/>
  <c r="R18" i="5" l="1"/>
  <c r="S18" i="5" s="1"/>
  <c r="T18" i="5" s="1"/>
  <c r="N19" i="5" s="1"/>
  <c r="AJ17" i="5"/>
  <c r="X18" i="5"/>
  <c r="D19" i="5"/>
  <c r="F19" i="5" s="1"/>
  <c r="H19" i="5" s="1"/>
  <c r="I19" i="5" s="1"/>
  <c r="J19" i="5" s="1"/>
  <c r="AE17" i="5"/>
  <c r="C41" i="5"/>
  <c r="E40" i="5"/>
  <c r="BB16" i="5"/>
  <c r="BI15" i="5"/>
  <c r="AG17" i="5"/>
  <c r="G38" i="5"/>
  <c r="AS16" i="5"/>
  <c r="AU16" i="5" s="1"/>
  <c r="AV16" i="5" s="1"/>
  <c r="AW16" i="5" s="1"/>
  <c r="AX16" i="5" s="1"/>
  <c r="AZ16" i="5" s="1"/>
  <c r="U18" i="5" l="1"/>
  <c r="V18" i="5"/>
  <c r="M19" i="5" s="1"/>
  <c r="D41" i="5" s="1"/>
  <c r="Z18" i="5"/>
  <c r="AB18" i="5" s="1"/>
  <c r="AC18" i="5" s="1"/>
  <c r="AD18" i="5" s="1"/>
  <c r="P19" i="5"/>
  <c r="K19" i="5"/>
  <c r="L19" i="5"/>
  <c r="BA16" i="5"/>
  <c r="H38" i="5" s="1"/>
  <c r="F39" i="5"/>
  <c r="AI17" i="5"/>
  <c r="AK17" i="5" s="1"/>
  <c r="AL17" i="5" s="1"/>
  <c r="AM17" i="5" s="1"/>
  <c r="AN17" i="5" s="1"/>
  <c r="AO17" i="5" s="1"/>
  <c r="AY16" i="5"/>
  <c r="BD16" i="5"/>
  <c r="O19" i="5" l="1"/>
  <c r="Q19" i="5" s="1"/>
  <c r="R19" i="5" s="1"/>
  <c r="S19" i="5" s="1"/>
  <c r="T19" i="5" s="1"/>
  <c r="V19" i="5" s="1"/>
  <c r="AF18" i="5"/>
  <c r="W19" i="5" s="1"/>
  <c r="E41" i="5" s="1"/>
  <c r="AE18" i="5"/>
  <c r="AP17" i="5"/>
  <c r="AH18" i="5" s="1"/>
  <c r="AJ18" i="5" s="1"/>
  <c r="D20" i="5"/>
  <c r="F20" i="5" s="1"/>
  <c r="C20" i="5"/>
  <c r="C42" i="5" s="1"/>
  <c r="BC16" i="5"/>
  <c r="BE16" i="5" s="1"/>
  <c r="BF16" i="5" s="1"/>
  <c r="BG16" i="5" s="1"/>
  <c r="BH16" i="5" s="1"/>
  <c r="BI16" i="5" s="1"/>
  <c r="AR17" i="5"/>
  <c r="AT17" i="5" s="1"/>
  <c r="AQ17" i="5"/>
  <c r="X19" i="5" l="1"/>
  <c r="Z19" i="5" s="1"/>
  <c r="Y19" i="5"/>
  <c r="AA19" i="5" s="1"/>
  <c r="U19" i="5"/>
  <c r="N20" i="5"/>
  <c r="BJ16" i="5"/>
  <c r="BA17" i="5" s="1"/>
  <c r="H39" i="5" s="1"/>
  <c r="M20" i="5"/>
  <c r="O20" i="5" s="1"/>
  <c r="Q20" i="5" s="1"/>
  <c r="E20" i="5"/>
  <c r="G20" i="5" s="1"/>
  <c r="H20" i="5" s="1"/>
  <c r="I20" i="5" s="1"/>
  <c r="J20" i="5" s="1"/>
  <c r="K20" i="5" s="1"/>
  <c r="AG18" i="5"/>
  <c r="G39" i="5"/>
  <c r="AS17" i="5"/>
  <c r="AU17" i="5" s="1"/>
  <c r="AV17" i="5" s="1"/>
  <c r="AW17" i="5" s="1"/>
  <c r="AX17" i="5" s="1"/>
  <c r="AZ17" i="5" s="1"/>
  <c r="AB19" i="5" l="1"/>
  <c r="AC19" i="5" s="1"/>
  <c r="AD19" i="5" s="1"/>
  <c r="AE19" i="5" s="1"/>
  <c r="AI18" i="5"/>
  <c r="AK18" i="5" s="1"/>
  <c r="AL18" i="5" s="1"/>
  <c r="AM18" i="5" s="1"/>
  <c r="AN18" i="5" s="1"/>
  <c r="AO18" i="5" s="1"/>
  <c r="D42" i="5"/>
  <c r="L20" i="5"/>
  <c r="P20" i="5"/>
  <c r="R20" i="5" s="1"/>
  <c r="S20" i="5" s="1"/>
  <c r="T20" i="5" s="1"/>
  <c r="N21" i="5" s="1"/>
  <c r="BB17" i="5"/>
  <c r="BD17" i="5" s="1"/>
  <c r="AQ18" i="5"/>
  <c r="F40" i="5"/>
  <c r="AY17" i="5"/>
  <c r="BC17" i="5"/>
  <c r="BE17" i="5" s="1"/>
  <c r="AF19" i="5" l="1"/>
  <c r="W20" i="5" s="1"/>
  <c r="E42" i="5" s="1"/>
  <c r="AP18" i="5"/>
  <c r="AH19" i="5" s="1"/>
  <c r="AJ19" i="5" s="1"/>
  <c r="G40" i="5"/>
  <c r="V20" i="5"/>
  <c r="M21" i="5" s="1"/>
  <c r="U20" i="5"/>
  <c r="D21" i="5"/>
  <c r="F21" i="5" s="1"/>
  <c r="C21" i="5"/>
  <c r="AR18" i="5"/>
  <c r="AT18" i="5" s="1"/>
  <c r="AS18" i="5"/>
  <c r="AU18" i="5" s="1"/>
  <c r="BF17" i="5"/>
  <c r="BG17" i="5" s="1"/>
  <c r="BH17" i="5" s="1"/>
  <c r="Y20" i="5" l="1"/>
  <c r="AA20" i="5" s="1"/>
  <c r="X20" i="5"/>
  <c r="Z20" i="5" s="1"/>
  <c r="AG19" i="5"/>
  <c r="AI19" i="5" s="1"/>
  <c r="AK19" i="5" s="1"/>
  <c r="AL19" i="5" s="1"/>
  <c r="AM19" i="5" s="1"/>
  <c r="AN19" i="5" s="1"/>
  <c r="AP19" i="5" s="1"/>
  <c r="BI17" i="5"/>
  <c r="BJ17" i="5"/>
  <c r="D43" i="5"/>
  <c r="E21" i="5"/>
  <c r="G21" i="5" s="1"/>
  <c r="H21" i="5" s="1"/>
  <c r="I21" i="5" s="1"/>
  <c r="J21" i="5" s="1"/>
  <c r="P21" i="5" s="1"/>
  <c r="O21" i="5"/>
  <c r="Q21" i="5" s="1"/>
  <c r="C43" i="5"/>
  <c r="AV18" i="5"/>
  <c r="AW18" i="5" s="1"/>
  <c r="AX18" i="5" s="1"/>
  <c r="AB20" i="5" l="1"/>
  <c r="AC20" i="5" s="1"/>
  <c r="AD20" i="5" s="1"/>
  <c r="AE20" i="5" s="1"/>
  <c r="F41" i="5"/>
  <c r="R21" i="5"/>
  <c r="S21" i="5" s="1"/>
  <c r="T21" i="5" s="1"/>
  <c r="N22" i="5" s="1"/>
  <c r="AY18" i="5"/>
  <c r="AZ18" i="5"/>
  <c r="AQ19" i="5" s="1"/>
  <c r="L21" i="5"/>
  <c r="V21" i="5" s="1"/>
  <c r="K21" i="5"/>
  <c r="AO19" i="5"/>
  <c r="BB18" i="5"/>
  <c r="BD18" i="5" s="1"/>
  <c r="BA18" i="5"/>
  <c r="AF20" i="5" l="1"/>
  <c r="W21" i="5" s="1"/>
  <c r="Y21" i="5" s="1"/>
  <c r="AA21" i="5" s="1"/>
  <c r="G41" i="5"/>
  <c r="M22" i="5"/>
  <c r="U21" i="5"/>
  <c r="C22" i="5"/>
  <c r="E22" i="5" s="1"/>
  <c r="G22" i="5" s="1"/>
  <c r="D22" i="5"/>
  <c r="F22" i="5" s="1"/>
  <c r="AR19" i="5"/>
  <c r="AT19" i="5" s="1"/>
  <c r="AS19" i="5"/>
  <c r="AU19" i="5" s="1"/>
  <c r="H40" i="5"/>
  <c r="BC18" i="5"/>
  <c r="BE18" i="5" s="1"/>
  <c r="BF18" i="5" s="1"/>
  <c r="BG18" i="5" s="1"/>
  <c r="BH18" i="5" s="1"/>
  <c r="BJ18" i="5" s="1"/>
  <c r="AH20" i="5"/>
  <c r="AJ20" i="5" s="1"/>
  <c r="AG20" i="5"/>
  <c r="E43" i="5" l="1"/>
  <c r="X21" i="5"/>
  <c r="Z21" i="5" s="1"/>
  <c r="AB21" i="5" s="1"/>
  <c r="AC21" i="5" s="1"/>
  <c r="AD21" i="5" s="1"/>
  <c r="AF21" i="5" s="1"/>
  <c r="X22" i="5" s="1"/>
  <c r="H22" i="5"/>
  <c r="I22" i="5" s="1"/>
  <c r="J22" i="5" s="1"/>
  <c r="P22" i="5" s="1"/>
  <c r="C44" i="5"/>
  <c r="D44" i="5"/>
  <c r="O22" i="5"/>
  <c r="Q22" i="5" s="1"/>
  <c r="AV19" i="5"/>
  <c r="AW19" i="5" s="1"/>
  <c r="AX19" i="5" s="1"/>
  <c r="BA19" i="5"/>
  <c r="BC19" i="5" s="1"/>
  <c r="BE19" i="5" s="1"/>
  <c r="BI18" i="5"/>
  <c r="AI20" i="5"/>
  <c r="AK20" i="5" s="1"/>
  <c r="AL20" i="5" s="1"/>
  <c r="AM20" i="5" s="1"/>
  <c r="AN20" i="5" s="1"/>
  <c r="AP20" i="5" s="1"/>
  <c r="F42" i="5"/>
  <c r="W22" i="5" l="1"/>
  <c r="AE21" i="5"/>
  <c r="K22" i="5"/>
  <c r="L22" i="5"/>
  <c r="D23" i="5" s="1"/>
  <c r="F23" i="5" s="1"/>
  <c r="AZ19" i="5"/>
  <c r="E44" i="5"/>
  <c r="R22" i="5"/>
  <c r="S22" i="5" s="1"/>
  <c r="T22" i="5" s="1"/>
  <c r="AY19" i="5"/>
  <c r="BB19" i="5"/>
  <c r="BD19" i="5" s="1"/>
  <c r="BF19" i="5" s="1"/>
  <c r="BG19" i="5" s="1"/>
  <c r="BH19" i="5" s="1"/>
  <c r="Y22" i="5"/>
  <c r="AA22" i="5" s="1"/>
  <c r="H41" i="5"/>
  <c r="AG21" i="5"/>
  <c r="AO20" i="5"/>
  <c r="C23" i="5" l="1"/>
  <c r="C45" i="5" s="1"/>
  <c r="BJ19" i="5"/>
  <c r="BA20" i="5" s="1"/>
  <c r="AQ20" i="5"/>
  <c r="AS20" i="5" s="1"/>
  <c r="AU20" i="5" s="1"/>
  <c r="AR20" i="5"/>
  <c r="AT20" i="5" s="1"/>
  <c r="U22" i="5"/>
  <c r="V22" i="5"/>
  <c r="N23" i="5"/>
  <c r="Z22" i="5"/>
  <c r="AB22" i="5" s="1"/>
  <c r="AC22" i="5" s="1"/>
  <c r="AD22" i="5" s="1"/>
  <c r="BI19" i="5"/>
  <c r="AH21" i="5"/>
  <c r="AJ21" i="5" s="1"/>
  <c r="F43" i="5"/>
  <c r="AI21" i="5"/>
  <c r="AK21" i="5" s="1"/>
  <c r="E23" i="5" l="1"/>
  <c r="G23" i="5" s="1"/>
  <c r="H23" i="5" s="1"/>
  <c r="I23" i="5" s="1"/>
  <c r="J23" i="5" s="1"/>
  <c r="L23" i="5" s="1"/>
  <c r="C24" i="5" s="1"/>
  <c r="C46" i="5" s="1"/>
  <c r="AV20" i="5"/>
  <c r="AW20" i="5" s="1"/>
  <c r="AX20" i="5" s="1"/>
  <c r="AY20" i="5" s="1"/>
  <c r="G42" i="5"/>
  <c r="BC20" i="5"/>
  <c r="BE20" i="5" s="1"/>
  <c r="M23" i="5"/>
  <c r="D45" i="5" s="1"/>
  <c r="AF22" i="5"/>
  <c r="H42" i="5"/>
  <c r="BB20" i="5"/>
  <c r="AE22" i="5"/>
  <c r="AL21" i="5"/>
  <c r="AM21" i="5" s="1"/>
  <c r="AN21" i="5" s="1"/>
  <c r="AP21" i="5" s="1"/>
  <c r="K23" i="5" l="1"/>
  <c r="E24" i="5"/>
  <c r="G24" i="5" s="1"/>
  <c r="D24" i="5"/>
  <c r="F24" i="5" s="1"/>
  <c r="P23" i="5"/>
  <c r="BD20" i="5"/>
  <c r="BF20" i="5" s="1"/>
  <c r="BG20" i="5" s="1"/>
  <c r="BH20" i="5" s="1"/>
  <c r="AZ20" i="5"/>
  <c r="AQ21" i="5" s="1"/>
  <c r="G43" i="5" s="1"/>
  <c r="O23" i="5"/>
  <c r="Q23" i="5" s="1"/>
  <c r="X23" i="5"/>
  <c r="W23" i="5"/>
  <c r="AO21" i="5"/>
  <c r="AH22" i="5"/>
  <c r="AJ22" i="5" s="1"/>
  <c r="H24" i="5" l="1"/>
  <c r="I24" i="5" s="1"/>
  <c r="J24" i="5" s="1"/>
  <c r="K24" i="5" s="1"/>
  <c r="AS21" i="5"/>
  <c r="AU21" i="5" s="1"/>
  <c r="BI20" i="5"/>
  <c r="R23" i="5"/>
  <c r="S23" i="5" s="1"/>
  <c r="T23" i="5" s="1"/>
  <c r="U23" i="5" s="1"/>
  <c r="AR21" i="5"/>
  <c r="AT21" i="5" s="1"/>
  <c r="BJ20" i="5"/>
  <c r="BA21" i="5" s="1"/>
  <c r="H43" i="5" s="1"/>
  <c r="Y23" i="5"/>
  <c r="AA23" i="5" s="1"/>
  <c r="E45" i="5"/>
  <c r="AG22" i="5"/>
  <c r="N24" i="5" l="1"/>
  <c r="P24" i="5" s="1"/>
  <c r="L24" i="5"/>
  <c r="C25" i="5" s="1"/>
  <c r="BC21" i="5"/>
  <c r="BE21" i="5" s="1"/>
  <c r="BB21" i="5"/>
  <c r="AV21" i="5"/>
  <c r="AW21" i="5" s="1"/>
  <c r="AX21" i="5" s="1"/>
  <c r="V23" i="5"/>
  <c r="M24" i="5" s="1"/>
  <c r="D46" i="5" s="1"/>
  <c r="Z23" i="5"/>
  <c r="AB23" i="5" s="1"/>
  <c r="AC23" i="5" s="1"/>
  <c r="AD23" i="5" s="1"/>
  <c r="AI22" i="5"/>
  <c r="AK22" i="5" s="1"/>
  <c r="AL22" i="5" s="1"/>
  <c r="AM22" i="5" s="1"/>
  <c r="AN22" i="5" s="1"/>
  <c r="AP22" i="5" s="1"/>
  <c r="F44" i="5"/>
  <c r="D25" i="5" l="1"/>
  <c r="F25" i="5" s="1"/>
  <c r="BD21" i="5"/>
  <c r="BF21" i="5" s="1"/>
  <c r="BG21" i="5" s="1"/>
  <c r="BH21" i="5" s="1"/>
  <c r="AZ21" i="5"/>
  <c r="AQ22" i="5" s="1"/>
  <c r="AY21" i="5"/>
  <c r="AF23" i="5"/>
  <c r="X24" i="5" s="1"/>
  <c r="AE23" i="5"/>
  <c r="AO22" i="5"/>
  <c r="O24" i="5"/>
  <c r="Q24" i="5" s="1"/>
  <c r="R24" i="5" s="1"/>
  <c r="S24" i="5" s="1"/>
  <c r="T24" i="5" s="1"/>
  <c r="C47" i="5"/>
  <c r="E25" i="5"/>
  <c r="G25" i="5" s="1"/>
  <c r="AH23" i="5"/>
  <c r="AJ23" i="5" s="1"/>
  <c r="AG23" i="5"/>
  <c r="H25" i="5" l="1"/>
  <c r="I25" i="5" s="1"/>
  <c r="J25" i="5" s="1"/>
  <c r="L25" i="5" s="1"/>
  <c r="AR22" i="5"/>
  <c r="AT22" i="5" s="1"/>
  <c r="AS22" i="5"/>
  <c r="AU22" i="5" s="1"/>
  <c r="G44" i="5"/>
  <c r="BI21" i="5"/>
  <c r="BJ21" i="5"/>
  <c r="BA22" i="5" s="1"/>
  <c r="BC22" i="5" s="1"/>
  <c r="BE22" i="5" s="1"/>
  <c r="W24" i="5"/>
  <c r="Y24" i="5" s="1"/>
  <c r="AA24" i="5" s="1"/>
  <c r="Z24" i="5"/>
  <c r="V24" i="5"/>
  <c r="M25" i="5" s="1"/>
  <c r="D47" i="5" s="1"/>
  <c r="N25" i="5"/>
  <c r="U24" i="5"/>
  <c r="AI23" i="5"/>
  <c r="AK23" i="5" s="1"/>
  <c r="AL23" i="5" s="1"/>
  <c r="AM23" i="5" s="1"/>
  <c r="AN23" i="5" s="1"/>
  <c r="AP23" i="5" s="1"/>
  <c r="F45" i="5"/>
  <c r="P25" i="5" l="1"/>
  <c r="K25" i="5"/>
  <c r="AV22" i="5"/>
  <c r="AW22" i="5" s="1"/>
  <c r="AX22" i="5" s="1"/>
  <c r="AY22" i="5" s="1"/>
  <c r="E46" i="5"/>
  <c r="H44" i="5"/>
  <c r="BB22" i="5"/>
  <c r="AB24" i="5"/>
  <c r="AC24" i="5" s="1"/>
  <c r="AD24" i="5" s="1"/>
  <c r="AF24" i="5" s="1"/>
  <c r="O25" i="5"/>
  <c r="Q25" i="5" s="1"/>
  <c r="AO23" i="5"/>
  <c r="R25" i="5" l="1"/>
  <c r="S25" i="5" s="1"/>
  <c r="T25" i="5" s="1"/>
  <c r="V25" i="5" s="1"/>
  <c r="BD22" i="5"/>
  <c r="BF22" i="5" s="1"/>
  <c r="BG22" i="5" s="1"/>
  <c r="BH22" i="5" s="1"/>
  <c r="AZ22" i="5"/>
  <c r="AR23" i="5" s="1"/>
  <c r="AT23" i="5" s="1"/>
  <c r="AE24" i="5"/>
  <c r="W25" i="5"/>
  <c r="E47" i="5" s="1"/>
  <c r="X25" i="5"/>
  <c r="AH24" i="5"/>
  <c r="AJ24" i="5" s="1"/>
  <c r="AG24" i="5"/>
  <c r="U25" i="5" l="1"/>
  <c r="Z25" i="5"/>
  <c r="BI22" i="5"/>
  <c r="BJ22" i="5"/>
  <c r="BA23" i="5" s="1"/>
  <c r="AQ23" i="5"/>
  <c r="AS23" i="5" s="1"/>
  <c r="AU23" i="5" s="1"/>
  <c r="AV23" i="5" s="1"/>
  <c r="AW23" i="5" s="1"/>
  <c r="AX23" i="5" s="1"/>
  <c r="AY23" i="5" s="1"/>
  <c r="Y25" i="5"/>
  <c r="AA25" i="5" s="1"/>
  <c r="AB25" i="5" s="1"/>
  <c r="AC25" i="5" s="1"/>
  <c r="AD25" i="5" s="1"/>
  <c r="AI24" i="5"/>
  <c r="AK24" i="5" s="1"/>
  <c r="AL24" i="5" s="1"/>
  <c r="AM24" i="5" s="1"/>
  <c r="AN24" i="5" s="1"/>
  <c r="AP24" i="5" s="1"/>
  <c r="F46" i="5"/>
  <c r="BC23" i="5" l="1"/>
  <c r="BE23" i="5" s="1"/>
  <c r="G45" i="5"/>
  <c r="AZ23" i="5"/>
  <c r="AQ24" i="5" s="1"/>
  <c r="AS24" i="5" s="1"/>
  <c r="AU24" i="5" s="1"/>
  <c r="H45" i="5"/>
  <c r="BB23" i="5"/>
  <c r="BD23" i="5" s="1"/>
  <c r="AE25" i="5"/>
  <c r="AF25" i="5"/>
  <c r="AO24" i="5"/>
  <c r="G46" i="5" l="1"/>
  <c r="BF23" i="5"/>
  <c r="BG23" i="5" s="1"/>
  <c r="BH23" i="5" s="1"/>
  <c r="BI23" i="5" s="1"/>
  <c r="AR24" i="5"/>
  <c r="AT24" i="5" s="1"/>
  <c r="AV24" i="5" s="1"/>
  <c r="AW24" i="5" s="1"/>
  <c r="AX24" i="5" s="1"/>
  <c r="AH25" i="5"/>
  <c r="AJ25" i="5" s="1"/>
  <c r="AG25" i="5"/>
  <c r="BJ23" i="5" l="1"/>
  <c r="BB24" i="5" s="1"/>
  <c r="BD24" i="5" s="1"/>
  <c r="AY24" i="5"/>
  <c r="AZ24" i="5"/>
  <c r="AI25" i="5"/>
  <c r="AK25" i="5" s="1"/>
  <c r="AL25" i="5" s="1"/>
  <c r="AM25" i="5" s="1"/>
  <c r="AN25" i="5" s="1"/>
  <c r="AP25" i="5" s="1"/>
  <c r="F47" i="5"/>
  <c r="BA24" i="5" l="1"/>
  <c r="H46" i="5" s="1"/>
  <c r="AQ25" i="5"/>
  <c r="G47" i="5" s="1"/>
  <c r="AR25" i="5"/>
  <c r="AT25" i="5" s="1"/>
  <c r="AO25" i="5"/>
  <c r="BC24" i="5" l="1"/>
  <c r="BE24" i="5" s="1"/>
  <c r="BF24" i="5" s="1"/>
  <c r="BG24" i="5" s="1"/>
  <c r="BH24" i="5" s="1"/>
  <c r="BJ24" i="5" s="1"/>
  <c r="AS25" i="5"/>
  <c r="AU25" i="5" s="1"/>
  <c r="AV25" i="5" s="1"/>
  <c r="AW25" i="5" s="1"/>
  <c r="AX25" i="5" s="1"/>
  <c r="BI24" i="5" l="1"/>
  <c r="AZ25" i="5"/>
  <c r="AY25" i="5"/>
  <c r="BB25" i="5"/>
  <c r="BD25" i="5" s="1"/>
  <c r="BA25" i="5"/>
  <c r="H47" i="5" l="1"/>
  <c r="BC25" i="5"/>
  <c r="BE25" i="5" s="1"/>
  <c r="BF25" i="5" s="1"/>
  <c r="BG25" i="5" s="1"/>
  <c r="BH25" i="5" s="1"/>
  <c r="BJ25" i="5" s="1"/>
  <c r="BI25" i="5" l="1"/>
</calcChain>
</file>

<file path=xl/sharedStrings.xml><?xml version="1.0" encoding="utf-8"?>
<sst xmlns="http://schemas.openxmlformats.org/spreadsheetml/2006/main" count="109" uniqueCount="53">
  <si>
    <t>x</t>
    <phoneticPr fontId="1"/>
  </si>
  <si>
    <t>y</t>
    <phoneticPr fontId="1"/>
  </si>
  <si>
    <t>バネ定数</t>
    <rPh sb="2" eb="4">
      <t>テイスウ</t>
    </rPh>
    <phoneticPr fontId="1"/>
  </si>
  <si>
    <t>質量</t>
    <rPh sb="0" eb="2">
      <t>シツリョウ</t>
    </rPh>
    <phoneticPr fontId="1"/>
  </si>
  <si>
    <t>x_ini</t>
    <phoneticPr fontId="1"/>
  </si>
  <si>
    <t>ω</t>
    <phoneticPr fontId="1"/>
  </si>
  <si>
    <t>時間</t>
    <rPh sb="0" eb="2">
      <t>ジカン</t>
    </rPh>
    <phoneticPr fontId="1"/>
  </si>
  <si>
    <t>位置</t>
    <rPh sb="0" eb="2">
      <t>イチ</t>
    </rPh>
    <phoneticPr fontId="1"/>
  </si>
  <si>
    <t>m=10kg</t>
    <phoneticPr fontId="1"/>
  </si>
  <si>
    <t>m=20kg</t>
    <phoneticPr fontId="1"/>
  </si>
  <si>
    <t>ボール初速度</t>
    <rPh sb="3" eb="6">
      <t>ショソクド</t>
    </rPh>
    <phoneticPr fontId="1"/>
  </si>
  <si>
    <t>学生番号</t>
    <rPh sb="0" eb="2">
      <t>ガクセイ</t>
    </rPh>
    <rPh sb="2" eb="4">
      <t>バンゴウ</t>
    </rPh>
    <phoneticPr fontId="1"/>
  </si>
  <si>
    <t>a位置</t>
    <rPh sb="1" eb="3">
      <t>イチ</t>
    </rPh>
    <phoneticPr fontId="1"/>
  </si>
  <si>
    <t>a速度</t>
    <rPh sb="1" eb="3">
      <t>ソクド</t>
    </rPh>
    <phoneticPr fontId="1"/>
  </si>
  <si>
    <t>b位置</t>
    <rPh sb="1" eb="3">
      <t>イチ</t>
    </rPh>
    <phoneticPr fontId="1"/>
  </si>
  <si>
    <t>b速度</t>
    <rPh sb="1" eb="3">
      <t>ソクド</t>
    </rPh>
    <phoneticPr fontId="1"/>
  </si>
  <si>
    <t>相対速度</t>
    <rPh sb="0" eb="2">
      <t>ソウタイ</t>
    </rPh>
    <rPh sb="2" eb="4">
      <t>ソクド</t>
    </rPh>
    <phoneticPr fontId="1"/>
  </si>
  <si>
    <t>距離</t>
    <rPh sb="0" eb="2">
      <t>キョリ</t>
    </rPh>
    <phoneticPr fontId="1"/>
  </si>
  <si>
    <t>a加速度</t>
    <rPh sb="1" eb="4">
      <t>カソクド</t>
    </rPh>
    <phoneticPr fontId="1"/>
  </si>
  <si>
    <t>a速度計算</t>
    <rPh sb="1" eb="3">
      <t>ソクド</t>
    </rPh>
    <rPh sb="3" eb="5">
      <t>ケイサン</t>
    </rPh>
    <phoneticPr fontId="1"/>
  </si>
  <si>
    <t>dt</t>
    <phoneticPr fontId="1"/>
  </si>
  <si>
    <t>x</t>
    <phoneticPr fontId="1"/>
  </si>
  <si>
    <t>t</t>
    <phoneticPr fontId="1"/>
  </si>
  <si>
    <t>角度</t>
    <rPh sb="0" eb="2">
      <t>カクド</t>
    </rPh>
    <phoneticPr fontId="1"/>
  </si>
  <si>
    <t>g</t>
    <phoneticPr fontId="1"/>
  </si>
  <si>
    <t>α</t>
    <phoneticPr fontId="1"/>
  </si>
  <si>
    <t>Y</t>
    <phoneticPr fontId="1"/>
  </si>
  <si>
    <t>基礎</t>
    <rPh sb="0" eb="2">
      <t>キソ</t>
    </rPh>
    <phoneticPr fontId="1"/>
  </si>
  <si>
    <t>αたち</t>
    <phoneticPr fontId="1"/>
  </si>
  <si>
    <t>距離差</t>
    <rPh sb="0" eb="2">
      <t>キョリ</t>
    </rPh>
    <rPh sb="2" eb="3">
      <t>サ</t>
    </rPh>
    <phoneticPr fontId="1"/>
  </si>
  <si>
    <t>希望距離</t>
    <rPh sb="0" eb="2">
      <t>キボウ</t>
    </rPh>
    <rPh sb="2" eb="4">
      <t>キョリ</t>
    </rPh>
    <phoneticPr fontId="1"/>
  </si>
  <si>
    <t>a1</t>
    <phoneticPr fontId="1"/>
  </si>
  <si>
    <t>速度</t>
    <rPh sb="0" eb="2">
      <t>ソクド</t>
    </rPh>
    <phoneticPr fontId="1"/>
  </si>
  <si>
    <t>加速度</t>
    <rPh sb="0" eb="3">
      <t>カソクド</t>
    </rPh>
    <phoneticPr fontId="1"/>
  </si>
  <si>
    <t>a2</t>
    <phoneticPr fontId="1"/>
  </si>
  <si>
    <t>a3</t>
    <phoneticPr fontId="1"/>
  </si>
  <si>
    <t>a4</t>
    <phoneticPr fontId="1"/>
  </si>
  <si>
    <t>a5</t>
    <phoneticPr fontId="1"/>
  </si>
  <si>
    <t>a6</t>
    <phoneticPr fontId="1"/>
  </si>
  <si>
    <t>a7</t>
    <phoneticPr fontId="1"/>
  </si>
  <si>
    <t>次の速度</t>
    <rPh sb="0" eb="1">
      <t>ツギ</t>
    </rPh>
    <rPh sb="2" eb="4">
      <t>ソクド</t>
    </rPh>
    <phoneticPr fontId="1"/>
  </si>
  <si>
    <t>希望距離</t>
    <rPh sb="0" eb="2">
      <t>キボウ</t>
    </rPh>
    <rPh sb="2" eb="4">
      <t>キョリ</t>
    </rPh>
    <phoneticPr fontId="1"/>
  </si>
  <si>
    <t>パラメータ</t>
    <phoneticPr fontId="1"/>
  </si>
  <si>
    <t>距離差</t>
    <rPh sb="0" eb="2">
      <t>キョリ</t>
    </rPh>
    <rPh sb="2" eb="3">
      <t>サ</t>
    </rPh>
    <phoneticPr fontId="1"/>
  </si>
  <si>
    <t>Y</t>
    <phoneticPr fontId="1"/>
  </si>
  <si>
    <t>a1</t>
    <phoneticPr fontId="1"/>
  </si>
  <si>
    <t>a2</t>
    <phoneticPr fontId="1"/>
  </si>
  <si>
    <t>a6</t>
    <phoneticPr fontId="1"/>
  </si>
  <si>
    <t>加速度修正</t>
    <rPh sb="0" eb="3">
      <t>カソクド</t>
    </rPh>
    <rPh sb="3" eb="5">
      <t>シュウセイ</t>
    </rPh>
    <phoneticPr fontId="1"/>
  </si>
  <si>
    <t>速度修正</t>
    <rPh sb="0" eb="2">
      <t>ソクド</t>
    </rPh>
    <rPh sb="2" eb="4">
      <t>シュウセイ</t>
    </rPh>
    <phoneticPr fontId="1"/>
  </si>
  <si>
    <t>x90</t>
    <phoneticPr fontId="1"/>
  </si>
  <si>
    <t>y90</t>
    <phoneticPr fontId="1"/>
  </si>
  <si>
    <t>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</si>
</sst>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Sheet2!$B$6</c:f>
              <c:strCache>
                <c:ptCount val="1"/>
                <c:pt idx="0">
                  <c:v>m=10kg</c:v>
                </c:pt>
              </c:strCache>
            </c:strRef>
          </c:tx>
          <c:xVal>
            <c:numRef>
              <c:f>Sheet2!$A$7:$A$67</c:f>
              <c:numCache>
                <c:formatCode>General</c:formatCode>
                <c:ptCount val="6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</c:numCache>
            </c:numRef>
          </c:xVal>
          <c:yVal>
            <c:numRef>
              <c:f>Sheet2!$B$7:$B$67</c:f>
              <c:numCache>
                <c:formatCode>General</c:formatCode>
                <c:ptCount val="61"/>
                <c:pt idx="0">
                  <c:v>1</c:v>
                </c:pt>
                <c:pt idx="1">
                  <c:v>0.87758256189037276</c:v>
                </c:pt>
                <c:pt idx="2">
                  <c:v>0.54030230586813977</c:v>
                </c:pt>
                <c:pt idx="3">
                  <c:v>7.0737201667702906E-2</c:v>
                </c:pt>
                <c:pt idx="4">
                  <c:v>-0.41614683654714241</c:v>
                </c:pt>
                <c:pt idx="5">
                  <c:v>-0.8011436155469337</c:v>
                </c:pt>
                <c:pt idx="6">
                  <c:v>-0.98999249660044542</c:v>
                </c:pt>
                <c:pt idx="7">
                  <c:v>-0.93645668729079634</c:v>
                </c:pt>
                <c:pt idx="8">
                  <c:v>-0.65364362086361194</c:v>
                </c:pt>
                <c:pt idx="9">
                  <c:v>-0.2107957994307797</c:v>
                </c:pt>
                <c:pt idx="10">
                  <c:v>0.28366218546322625</c:v>
                </c:pt>
                <c:pt idx="11">
                  <c:v>0.70866977429125999</c:v>
                </c:pt>
                <c:pt idx="12">
                  <c:v>0.96017028665036597</c:v>
                </c:pt>
                <c:pt idx="13">
                  <c:v>0.97658762572802349</c:v>
                </c:pt>
                <c:pt idx="14">
                  <c:v>0.7539022543433046</c:v>
                </c:pt>
                <c:pt idx="15">
                  <c:v>0.34663531783502582</c:v>
                </c:pt>
                <c:pt idx="16">
                  <c:v>-0.14550003380861354</c:v>
                </c:pt>
                <c:pt idx="17">
                  <c:v>-0.60201190268482363</c:v>
                </c:pt>
                <c:pt idx="18">
                  <c:v>-0.91113026188467694</c:v>
                </c:pt>
                <c:pt idx="19">
                  <c:v>-0.99717215619637845</c:v>
                </c:pt>
                <c:pt idx="20">
                  <c:v>-0.83907152907645244</c:v>
                </c:pt>
                <c:pt idx="21">
                  <c:v>-0.47553692799599251</c:v>
                </c:pt>
                <c:pt idx="22">
                  <c:v>4.4256979880507854E-3</c:v>
                </c:pt>
                <c:pt idx="23">
                  <c:v>0.48330475875300588</c:v>
                </c:pt>
                <c:pt idx="24">
                  <c:v>0.84385395873249214</c:v>
                </c:pt>
                <c:pt idx="25">
                  <c:v>0.99779827917858066</c:v>
                </c:pt>
                <c:pt idx="26">
                  <c:v>0.90744678145019619</c:v>
                </c:pt>
                <c:pt idx="27">
                  <c:v>0.59492066330989202</c:v>
                </c:pt>
                <c:pt idx="28">
                  <c:v>0.13673721820783361</c:v>
                </c:pt>
                <c:pt idx="29">
                  <c:v>-0.35492426678870498</c:v>
                </c:pt>
                <c:pt idx="30">
                  <c:v>-0.75968791285882131</c:v>
                </c:pt>
                <c:pt idx="31">
                  <c:v>-0.97845346281888423</c:v>
                </c:pt>
                <c:pt idx="32">
                  <c:v>-0.95765948032338466</c:v>
                </c:pt>
                <c:pt idx="33">
                  <c:v>-0.70239705750271353</c:v>
                </c:pt>
                <c:pt idx="34">
                  <c:v>-0.27516333805159693</c:v>
                </c:pt>
                <c:pt idx="35">
                  <c:v>0.21943996321145931</c:v>
                </c:pt>
                <c:pt idx="36">
                  <c:v>0.66031670824408017</c:v>
                </c:pt>
                <c:pt idx="37">
                  <c:v>0.93952489374825598</c:v>
                </c:pt>
                <c:pt idx="38">
                  <c:v>0.98870461818666922</c:v>
                </c:pt>
                <c:pt idx="39">
                  <c:v>0.79581496981394406</c:v>
                </c:pt>
                <c:pt idx="40">
                  <c:v>0.40808206181339196</c:v>
                </c:pt>
                <c:pt idx="41">
                  <c:v>-7.9563567278540068E-2</c:v>
                </c:pt>
                <c:pt idx="42">
                  <c:v>-0.54772926022426838</c:v>
                </c:pt>
                <c:pt idx="43">
                  <c:v>-0.88179172754132418</c:v>
                </c:pt>
                <c:pt idx="44">
                  <c:v>-0.99996082639463713</c:v>
                </c:pt>
                <c:pt idx="45">
                  <c:v>-0.87330464009351561</c:v>
                </c:pt>
                <c:pt idx="46">
                  <c:v>-0.53283302033339752</c:v>
                </c:pt>
                <c:pt idx="47">
                  <c:v>-6.1905293994420546E-2</c:v>
                </c:pt>
                <c:pt idx="48">
                  <c:v>0.42417900733699698</c:v>
                </c:pt>
                <c:pt idx="49">
                  <c:v>0.80640949391225458</c:v>
                </c:pt>
                <c:pt idx="50">
                  <c:v>0.99120281186347359</c:v>
                </c:pt>
                <c:pt idx="51">
                  <c:v>0.93331511206392204</c:v>
                </c:pt>
                <c:pt idx="52">
                  <c:v>0.64691932232864036</c:v>
                </c:pt>
                <c:pt idx="53">
                  <c:v>0.20213512038718198</c:v>
                </c:pt>
                <c:pt idx="54">
                  <c:v>-0.29213880873383619</c:v>
                </c:pt>
                <c:pt idx="55">
                  <c:v>-0.71488696877966507</c:v>
                </c:pt>
                <c:pt idx="56">
                  <c:v>-0.96260586631356659</c:v>
                </c:pt>
                <c:pt idx="57">
                  <c:v>-0.97464527572065773</c:v>
                </c:pt>
                <c:pt idx="58">
                  <c:v>-0.7480575296890003</c:v>
                </c:pt>
                <c:pt idx="59">
                  <c:v>-0.33831921097105522</c:v>
                </c:pt>
                <c:pt idx="60">
                  <c:v>0.15425144988758405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Sheet2!$C$6</c:f>
              <c:strCache>
                <c:ptCount val="1"/>
                <c:pt idx="0">
                  <c:v>m=20kg</c:v>
                </c:pt>
              </c:strCache>
            </c:strRef>
          </c:tx>
          <c:xVal>
            <c:numRef>
              <c:f>Sheet2!$A$7:$A$67</c:f>
              <c:numCache>
                <c:formatCode>General</c:formatCode>
                <c:ptCount val="6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</c:numCache>
            </c:numRef>
          </c:xVal>
          <c:yVal>
            <c:numRef>
              <c:f>Sheet2!$C$7:$C$67</c:f>
              <c:numCache>
                <c:formatCode>General</c:formatCode>
                <c:ptCount val="61"/>
                <c:pt idx="0">
                  <c:v>1</c:v>
                </c:pt>
                <c:pt idx="1">
                  <c:v>0.93764648881934931</c:v>
                </c:pt>
                <c:pt idx="2">
                  <c:v>0.75836187599050819</c:v>
                </c:pt>
                <c:pt idx="3">
                  <c:v>0.48450421173456026</c:v>
                </c:pt>
                <c:pt idx="4">
                  <c:v>0.15022546991168584</c:v>
                </c:pt>
                <c:pt idx="5">
                  <c:v>-0.20278744294670223</c:v>
                </c:pt>
                <c:pt idx="6">
                  <c:v>-0.53051133762294478</c:v>
                </c:pt>
                <c:pt idx="7">
                  <c:v>-0.79207674305531872</c:v>
                </c:pt>
                <c:pt idx="8">
                  <c:v>-0.95486461637962639</c:v>
                </c:pt>
                <c:pt idx="9">
                  <c:v>-0.99857416663706433</c:v>
                </c:pt>
                <c:pt idx="10">
                  <c:v>-0.91775450596627595</c:v>
                </c:pt>
                <c:pt idx="11">
                  <c:v>-0.72248441359776605</c:v>
                </c:pt>
                <c:pt idx="12">
                  <c:v>-0.43711544130702784</c:v>
                </c:pt>
                <c:pt idx="13">
                  <c:v>-9.723510390274348E-2</c:v>
                </c:pt>
                <c:pt idx="14">
                  <c:v>0.25477113377824295</c:v>
                </c:pt>
                <c:pt idx="15">
                  <c:v>0.57500562198213201</c:v>
                </c:pt>
                <c:pt idx="16">
                  <c:v>0.82353287122762198</c:v>
                </c:pt>
                <c:pt idx="17">
                  <c:v>0.96935978828566183</c:v>
                </c:pt>
                <c:pt idx="18">
                  <c:v>0.99430073254981499</c:v>
                </c:pt>
                <c:pt idx="19">
                  <c:v>0.89524539312602036</c:v>
                </c:pt>
                <c:pt idx="20">
                  <c:v>0.6845466664428066</c:v>
                </c:pt>
                <c:pt idx="21">
                  <c:v>0.38848016332015517</c:v>
                </c:pt>
                <c:pt idx="22">
                  <c:v>4.3967455783415911E-2</c:v>
                </c:pt>
                <c:pt idx="23">
                  <c:v>-0.30602830224487532</c:v>
                </c:pt>
                <c:pt idx="24">
                  <c:v>-0.6178601819419246</c:v>
                </c:pt>
                <c:pt idx="25">
                  <c:v>-0.85264055811338424</c:v>
                </c:pt>
                <c:pt idx="26">
                  <c:v>-0.98109066913804532</c:v>
                </c:pt>
                <c:pt idx="27">
                  <c:v>-0.98719188414804404</c:v>
                </c:pt>
                <c:pt idx="28">
                  <c:v>-0.87018333878669729</c:v>
                </c:pt>
                <c:pt idx="29">
                  <c:v>-0.64465682033684568</c:v>
                </c:pt>
                <c:pt idx="30">
                  <c:v>-0.338737069377883</c:v>
                </c:pt>
                <c:pt idx="31">
                  <c:v>9.4255728665904488E-3</c:v>
                </c:pt>
                <c:pt idx="32">
                  <c:v>0.35641277998482196</c:v>
                </c:pt>
                <c:pt idx="33">
                  <c:v>0.65895281057963251</c:v>
                </c:pt>
                <c:pt idx="34">
                  <c:v>0.87931679829044629</c:v>
                </c:pt>
                <c:pt idx="35">
                  <c:v>0.99002380637418474</c:v>
                </c:pt>
                <c:pt idx="36">
                  <c:v>0.97726789349819765</c:v>
                </c:pt>
                <c:pt idx="37">
                  <c:v>0.84263981157474843</c:v>
                </c:pt>
                <c:pt idx="38">
                  <c:v>0.60292862782672552</c:v>
                </c:pt>
                <c:pt idx="39">
                  <c:v>0.28802801020604513</c:v>
                </c:pt>
                <c:pt idx="40">
                  <c:v>-6.2791722924081764E-2</c:v>
                </c:pt>
                <c:pt idx="41">
                  <c:v>-0.40578088725941053</c:v>
                </c:pt>
                <c:pt idx="42">
                  <c:v>-0.69816632541349111</c:v>
                </c:pt>
                <c:pt idx="43">
                  <c:v>-0.90348552001232285</c:v>
                </c:pt>
                <c:pt idx="44">
                  <c:v>-0.99613372566386671</c:v>
                </c:pt>
                <c:pt idx="45">
                  <c:v>-0.96455706051419998</c:v>
                </c:pt>
                <c:pt idx="46">
                  <c:v>-0.81269335645023844</c:v>
                </c:pt>
                <c:pt idx="47">
                  <c:v>-0.55948108381055517</c:v>
                </c:pt>
                <c:pt idx="48">
                  <c:v>-0.23649759114138372</c:v>
                </c:pt>
                <c:pt idx="49">
                  <c:v>0.11597881191465033</c:v>
                </c:pt>
                <c:pt idx="50">
                  <c:v>0.45399184267980686</c:v>
                </c:pt>
                <c:pt idx="51">
                  <c:v>0.73538890256804412</c:v>
                </c:pt>
                <c:pt idx="52">
                  <c:v>0.92507780213947521</c:v>
                </c:pt>
                <c:pt idx="53">
                  <c:v>0.99940300355355471</c:v>
                </c:pt>
                <c:pt idx="54">
                  <c:v>0.94909563225553029</c:v>
                </c:pt>
                <c:pt idx="55">
                  <c:v>0.78042937072280161</c:v>
                </c:pt>
                <c:pt idx="56">
                  <c:v>0.51443808620392795</c:v>
                </c:pt>
                <c:pt idx="57">
                  <c:v>0.18429275976531567</c:v>
                </c:pt>
                <c:pt idx="58">
                  <c:v>-0.16883516798637579</c:v>
                </c:pt>
                <c:pt idx="59">
                  <c:v>-0.50090816466861621</c:v>
                </c:pt>
                <c:pt idx="60">
                  <c:v>-0.7705143956585665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263168"/>
        <c:axId val="155987968"/>
      </c:scatterChart>
      <c:valAx>
        <c:axId val="158263168"/>
        <c:scaling>
          <c:orientation val="minMax"/>
          <c:max val="30"/>
        </c:scaling>
        <c:delete val="0"/>
        <c:axPos val="b"/>
        <c:title>
          <c:tx>
            <c:strRef>
              <c:f>Sheet2!$A$6</c:f>
              <c:strCache>
                <c:ptCount val="1"/>
                <c:pt idx="0">
                  <c:v>時間</c:v>
                </c:pt>
              </c:strCache>
            </c:strRef>
          </c:tx>
          <c:overlay val="0"/>
        </c:title>
        <c:numFmt formatCode="General" sourceLinked="1"/>
        <c:majorTickMark val="none"/>
        <c:minorTickMark val="none"/>
        <c:tickLblPos val="nextTo"/>
        <c:crossAx val="155987968"/>
        <c:crosses val="autoZero"/>
        <c:crossBetween val="midCat"/>
      </c:valAx>
      <c:valAx>
        <c:axId val="155987968"/>
        <c:scaling>
          <c:orientation val="minMax"/>
        </c:scaling>
        <c:delete val="0"/>
        <c:axPos val="l"/>
        <c:majorGridlines/>
        <c:title>
          <c:tx>
            <c:strRef>
              <c:f>Sheet2!$B$5</c:f>
              <c:strCache>
                <c:ptCount val="1"/>
                <c:pt idx="0">
                  <c:v>位置</c:v>
                </c:pt>
              </c:strCache>
            </c:strRef>
          </c:tx>
          <c:overlay val="0"/>
        </c:title>
        <c:numFmt formatCode="General" sourceLinked="1"/>
        <c:majorTickMark val="none"/>
        <c:minorTickMark val="none"/>
        <c:tickLblPos val="nextTo"/>
        <c:crossAx val="1582631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gradFill flip="none" rotWithShape="1">
      <a:gsLst>
        <a:gs pos="0">
          <a:srgbClr val="A8B9D6"/>
        </a:gs>
        <a:gs pos="100000">
          <a:srgbClr val="FFFFFF"/>
        </a:gs>
      </a:gsLst>
      <a:lin ang="5400000" scaled="1"/>
      <a:tileRect/>
    </a:gradFill>
    <a:ln>
      <a:solidFill>
        <a:schemeClr val="accent1">
          <a:lumMod val="100000"/>
        </a:schemeClr>
      </a:solidFill>
    </a:ln>
    <a:effectLst>
      <a:glow rad="228600">
        <a:schemeClr val="accent3">
          <a:lumMod val="100000"/>
          <a:alpha val="40000"/>
        </a:schemeClr>
      </a:glow>
      <a:outerShdw blurRad="50800" dist="38100" dir="5400000" algn="t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Sheet3!$B$4</c:f>
              <c:strCache>
                <c:ptCount val="1"/>
                <c:pt idx="0">
                  <c:v>x</c:v>
                </c:pt>
              </c:strCache>
            </c:strRef>
          </c:tx>
          <c:xVal>
            <c:numRef>
              <c:f>Sheet3!$A$5:$A$25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Sheet3!$B$5:$B$25</c:f>
              <c:numCache>
                <c:formatCode>General</c:formatCode>
                <c:ptCount val="21"/>
                <c:pt idx="0">
                  <c:v>0</c:v>
                </c:pt>
                <c:pt idx="1">
                  <c:v>11.471528727020923</c:v>
                </c:pt>
                <c:pt idx="2">
                  <c:v>22.943057454041845</c:v>
                </c:pt>
                <c:pt idx="3">
                  <c:v>34.414586181062766</c:v>
                </c:pt>
                <c:pt idx="4">
                  <c:v>45.886114908083691</c:v>
                </c:pt>
                <c:pt idx="5">
                  <c:v>57.357643635104615</c:v>
                </c:pt>
                <c:pt idx="6">
                  <c:v>68.829172362125533</c:v>
                </c:pt>
                <c:pt idx="7">
                  <c:v>80.300701089146457</c:v>
                </c:pt>
                <c:pt idx="8">
                  <c:v>91.772229816167382</c:v>
                </c:pt>
                <c:pt idx="9">
                  <c:v>103.24375854318831</c:v>
                </c:pt>
                <c:pt idx="10">
                  <c:v>114.71528727020923</c:v>
                </c:pt>
                <c:pt idx="11">
                  <c:v>126.18681599723016</c:v>
                </c:pt>
                <c:pt idx="12">
                  <c:v>137.65834472425107</c:v>
                </c:pt>
                <c:pt idx="13">
                  <c:v>149.129873451272</c:v>
                </c:pt>
                <c:pt idx="14">
                  <c:v>160.60140217829291</c:v>
                </c:pt>
                <c:pt idx="15">
                  <c:v>172.07293090531385</c:v>
                </c:pt>
                <c:pt idx="16">
                  <c:v>183.54445963233476</c:v>
                </c:pt>
                <c:pt idx="17">
                  <c:v>195.0159883593557</c:v>
                </c:pt>
                <c:pt idx="18">
                  <c:v>206.48751708637661</c:v>
                </c:pt>
                <c:pt idx="19">
                  <c:v>217.95904581339755</c:v>
                </c:pt>
                <c:pt idx="20">
                  <c:v>229.43057454041846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Sheet3!$C$4</c:f>
              <c:strCache>
                <c:ptCount val="1"/>
                <c:pt idx="0">
                  <c:v>y</c:v>
                </c:pt>
              </c:strCache>
            </c:strRef>
          </c:tx>
          <c:xVal>
            <c:numRef>
              <c:f>Sheet3!$A$5:$A$25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Sheet3!$C$5:$C$25</c:f>
              <c:numCache>
                <c:formatCode>General</c:formatCode>
                <c:ptCount val="21"/>
                <c:pt idx="0">
                  <c:v>0</c:v>
                </c:pt>
                <c:pt idx="1">
                  <c:v>11.483040885779834</c:v>
                </c:pt>
                <c:pt idx="2">
                  <c:v>13.166081771559668</c:v>
                </c:pt>
                <c:pt idx="3">
                  <c:v>5.0491226573395096</c:v>
                </c:pt>
                <c:pt idx="4">
                  <c:v>-12.867836456880667</c:v>
                </c:pt>
                <c:pt idx="5">
                  <c:v>-40.584795571100841</c:v>
                </c:pt>
                <c:pt idx="6">
                  <c:v>-78.101754685320984</c:v>
                </c:pt>
                <c:pt idx="7">
                  <c:v>-125.41871379954117</c:v>
                </c:pt>
                <c:pt idx="8">
                  <c:v>-182.53567291376135</c:v>
                </c:pt>
                <c:pt idx="9">
                  <c:v>-249.45263202798151</c:v>
                </c:pt>
                <c:pt idx="10">
                  <c:v>-326.16959114220174</c:v>
                </c:pt>
                <c:pt idx="11">
                  <c:v>-412.68655025642192</c:v>
                </c:pt>
                <c:pt idx="12">
                  <c:v>-509.00350937064195</c:v>
                </c:pt>
                <c:pt idx="13">
                  <c:v>-615.12046848486216</c:v>
                </c:pt>
                <c:pt idx="14">
                  <c:v>-731.03742759908232</c:v>
                </c:pt>
                <c:pt idx="15">
                  <c:v>-856.75438671330244</c:v>
                </c:pt>
                <c:pt idx="16">
                  <c:v>-992.27134582752274</c:v>
                </c:pt>
                <c:pt idx="17">
                  <c:v>-1137.588304941743</c:v>
                </c:pt>
                <c:pt idx="18">
                  <c:v>-1292.7052640559632</c:v>
                </c:pt>
                <c:pt idx="19">
                  <c:v>-1457.6222231701831</c:v>
                </c:pt>
                <c:pt idx="20">
                  <c:v>-1632.3391822844035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015616"/>
        <c:axId val="156017408"/>
      </c:scatterChart>
      <c:valAx>
        <c:axId val="156015616"/>
        <c:scaling>
          <c:orientation val="minMax"/>
          <c:max val="4"/>
        </c:scaling>
        <c:delete val="0"/>
        <c:axPos val="b"/>
        <c:numFmt formatCode="General" sourceLinked="1"/>
        <c:majorTickMark val="out"/>
        <c:minorTickMark val="none"/>
        <c:tickLblPos val="nextTo"/>
        <c:crossAx val="156017408"/>
        <c:crosses val="autoZero"/>
        <c:crossBetween val="midCat"/>
      </c:valAx>
      <c:valAx>
        <c:axId val="156017408"/>
        <c:scaling>
          <c:orientation val="minMax"/>
          <c:max val="25"/>
          <c:min val="-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015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Sheet4!$B$5</c:f>
              <c:strCache>
                <c:ptCount val="1"/>
                <c:pt idx="0">
                  <c:v>a位置</c:v>
                </c:pt>
              </c:strCache>
            </c:strRef>
          </c:tx>
          <c:xVal>
            <c:numRef>
              <c:f>Sheet4!$A$6:$A$21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Sheet4!$B$6:$B$21</c:f>
              <c:numCache>
                <c:formatCode>General</c:formatCode>
                <c:ptCount val="16"/>
                <c:pt idx="0">
                  <c:v>0</c:v>
                </c:pt>
                <c:pt idx="1">
                  <c:v>0.73488372093023235</c:v>
                </c:pt>
                <c:pt idx="2">
                  <c:v>1.2290584046663129</c:v>
                </c:pt>
                <c:pt idx="3">
                  <c:v>1.6588279583332044</c:v>
                </c:pt>
                <c:pt idx="4">
                  <c:v>2.0685824253915088</c:v>
                </c:pt>
                <c:pt idx="5">
                  <c:v>2.4718155825633952</c:v>
                </c:pt>
                <c:pt idx="6">
                  <c:v>2.8728912799350654</c:v>
                </c:pt>
                <c:pt idx="7">
                  <c:v>3.2732496216541973</c:v>
                </c:pt>
                <c:pt idx="8">
                  <c:v>3.6733690440178086</c:v>
                </c:pt>
                <c:pt idx="9">
                  <c:v>4.0734088487091018</c:v>
                </c:pt>
                <c:pt idx="10">
                  <c:v>4.4734221166325341</c:v>
                </c:pt>
                <c:pt idx="11">
                  <c:v>4.8734265392395679</c:v>
                </c:pt>
                <c:pt idx="12">
                  <c:v>5.2734280134381226</c:v>
                </c:pt>
                <c:pt idx="13">
                  <c:v>5.6734285048372195</c:v>
                </c:pt>
                <c:pt idx="14">
                  <c:v>6.0734286686368719</c:v>
                </c:pt>
                <c:pt idx="15">
                  <c:v>6.4734287232367507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Sheet4!$D$5</c:f>
              <c:strCache>
                <c:ptCount val="1"/>
                <c:pt idx="0">
                  <c:v>b位置</c:v>
                </c:pt>
              </c:strCache>
            </c:strRef>
          </c:tx>
          <c:xVal>
            <c:numRef>
              <c:f>Sheet4!$A$6:$A$21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Sheet4!$D$6:$D$21</c:f>
              <c:numCache>
                <c:formatCode>General</c:formatCode>
                <c:ptCount val="16"/>
                <c:pt idx="0">
                  <c:v>0.9</c:v>
                </c:pt>
                <c:pt idx="1">
                  <c:v>1.3</c:v>
                </c:pt>
                <c:pt idx="2">
                  <c:v>1.7000000000000002</c:v>
                </c:pt>
                <c:pt idx="3">
                  <c:v>2.1</c:v>
                </c:pt>
                <c:pt idx="4">
                  <c:v>2.5</c:v>
                </c:pt>
                <c:pt idx="5">
                  <c:v>2.9</c:v>
                </c:pt>
                <c:pt idx="6">
                  <c:v>3.3</c:v>
                </c:pt>
                <c:pt idx="7">
                  <c:v>3.6999999999999997</c:v>
                </c:pt>
                <c:pt idx="8">
                  <c:v>4.0999999999999996</c:v>
                </c:pt>
                <c:pt idx="9">
                  <c:v>4.5</c:v>
                </c:pt>
                <c:pt idx="10">
                  <c:v>4.9000000000000004</c:v>
                </c:pt>
                <c:pt idx="11">
                  <c:v>5.3000000000000007</c:v>
                </c:pt>
                <c:pt idx="12">
                  <c:v>5.7000000000000011</c:v>
                </c:pt>
                <c:pt idx="13">
                  <c:v>6.1000000000000014</c:v>
                </c:pt>
                <c:pt idx="14">
                  <c:v>6.5000000000000018</c:v>
                </c:pt>
                <c:pt idx="15">
                  <c:v>6.9000000000000021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914368"/>
        <c:axId val="169915904"/>
      </c:scatterChart>
      <c:valAx>
        <c:axId val="169914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9915904"/>
        <c:crosses val="autoZero"/>
        <c:crossBetween val="midCat"/>
      </c:valAx>
      <c:valAx>
        <c:axId val="169915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914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Sheet5!$B$27</c:f>
              <c:strCache>
                <c:ptCount val="1"/>
                <c:pt idx="0">
                  <c:v>a1</c:v>
                </c:pt>
              </c:strCache>
            </c:strRef>
          </c:tx>
          <c:xVal>
            <c:numRef>
              <c:f>Sheet5!$A$28:$A$47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Sheet5!$B$28:$B$47</c:f>
              <c:numCache>
                <c:formatCode>General</c:formatCode>
                <c:ptCount val="20"/>
                <c:pt idx="0">
                  <c:v>0.14115916418638647</c:v>
                </c:pt>
                <c:pt idx="1">
                  <c:v>0.73596910451837694</c:v>
                </c:pt>
                <c:pt idx="2">
                  <c:v>1.3307790448503676</c:v>
                </c:pt>
                <c:pt idx="3">
                  <c:v>1.9255889851823582</c:v>
                </c:pt>
                <c:pt idx="4">
                  <c:v>2.5203989255143489</c:v>
                </c:pt>
                <c:pt idx="5">
                  <c:v>3.1152088658463395</c:v>
                </c:pt>
                <c:pt idx="6">
                  <c:v>3.7100188061783301</c:v>
                </c:pt>
                <c:pt idx="7">
                  <c:v>4.3048287465103208</c:v>
                </c:pt>
                <c:pt idx="8">
                  <c:v>4.8996386868423114</c:v>
                </c:pt>
                <c:pt idx="9">
                  <c:v>5.494448627174302</c:v>
                </c:pt>
                <c:pt idx="10">
                  <c:v>6.0892585675062927</c:v>
                </c:pt>
                <c:pt idx="11">
                  <c:v>6.6840685078382833</c:v>
                </c:pt>
                <c:pt idx="12">
                  <c:v>7.278878448170274</c:v>
                </c:pt>
                <c:pt idx="13">
                  <c:v>7.8736883885022646</c:v>
                </c:pt>
                <c:pt idx="14">
                  <c:v>8.4684983288342544</c:v>
                </c:pt>
                <c:pt idx="15">
                  <c:v>9.0633082691662441</c:v>
                </c:pt>
                <c:pt idx="16">
                  <c:v>9.6581182094982339</c:v>
                </c:pt>
                <c:pt idx="17">
                  <c:v>10.252928149830224</c:v>
                </c:pt>
                <c:pt idx="18">
                  <c:v>10.847738090162213</c:v>
                </c:pt>
                <c:pt idx="19">
                  <c:v>11.442548030494203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Sheet5!$C$27</c:f>
              <c:strCache>
                <c:ptCount val="1"/>
                <c:pt idx="0">
                  <c:v>a2</c:v>
                </c:pt>
              </c:strCache>
            </c:strRef>
          </c:tx>
          <c:xVal>
            <c:numRef>
              <c:f>Sheet5!$A$28:$A$47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Sheet5!$C$28:$C$47</c:f>
              <c:numCache>
                <c:formatCode>General</c:formatCode>
                <c:ptCount val="20"/>
                <c:pt idx="0">
                  <c:v>-1.6455942276469757</c:v>
                </c:pt>
                <c:pt idx="1">
                  <c:v>-1.0270516841294106</c:v>
                </c:pt>
                <c:pt idx="2">
                  <c:v>-0.44797927829183659</c:v>
                </c:pt>
                <c:pt idx="3">
                  <c:v>0.15735710334919184</c:v>
                </c:pt>
                <c:pt idx="4">
                  <c:v>0.74516562736630432</c:v>
                </c:pt>
                <c:pt idx="5">
                  <c:v>1.3446501519102831</c:v>
                </c:pt>
                <c:pt idx="6">
                  <c:v>1.936346869700309</c:v>
                </c:pt>
                <c:pt idx="7">
                  <c:v>2.533233679016436</c:v>
                </c:pt>
                <c:pt idx="8">
                  <c:v>3.1266596625573908</c:v>
                </c:pt>
                <c:pt idx="9">
                  <c:v>3.7223925156580551</c:v>
                </c:pt>
                <c:pt idx="10">
                  <c:v>4.3165873035160764</c:v>
                </c:pt>
                <c:pt idx="11">
                  <c:v>4.9118073998775102</c:v>
                </c:pt>
                <c:pt idx="12">
                  <c:v>5.5063439270714998</c:v>
                </c:pt>
                <c:pt idx="13">
                  <c:v>6.1013361535773836</c:v>
                </c:pt>
                <c:pt idx="14">
                  <c:v>6.6960245745746239</c:v>
                </c:pt>
                <c:pt idx="15">
                  <c:v>7.2909155299202189</c:v>
                </c:pt>
                <c:pt idx="16">
                  <c:v>7.8856714611873926</c:v>
                </c:pt>
                <c:pt idx="17">
                  <c:v>8.4805174079821573</c:v>
                </c:pt>
                <c:pt idx="18">
                  <c:v>9.075303344192136</c:v>
                </c:pt>
                <c:pt idx="19">
                  <c:v>9.6701292873550155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Sheet5!$D$27</c:f>
              <c:strCache>
                <c:ptCount val="1"/>
                <c:pt idx="0">
                  <c:v>a3</c:v>
                </c:pt>
              </c:strCache>
            </c:strRef>
          </c:tx>
          <c:xVal>
            <c:numRef>
              <c:f>Sheet5!$A$28:$A$47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Sheet5!$D$28:$D$47</c:f>
              <c:numCache>
                <c:formatCode>General</c:formatCode>
                <c:ptCount val="20"/>
                <c:pt idx="0">
                  <c:v>-3.0433295636046696</c:v>
                </c:pt>
                <c:pt idx="1">
                  <c:v>-2.3081447747315975</c:v>
                </c:pt>
                <c:pt idx="2">
                  <c:v>-1.6591017461226354</c:v>
                </c:pt>
                <c:pt idx="3">
                  <c:v>-1.0379815307348959</c:v>
                </c:pt>
                <c:pt idx="4">
                  <c:v>-0.43833335743362012</c:v>
                </c:pt>
                <c:pt idx="5">
                  <c:v>0.16120573292439089</c:v>
                </c:pt>
                <c:pt idx="6">
                  <c:v>0.75555520290506573</c:v>
                </c:pt>
                <c:pt idx="7">
                  <c:v>1.3516001434296587</c:v>
                </c:pt>
                <c:pt idx="8">
                  <c:v>1.9459033594939852</c:v>
                </c:pt>
                <c:pt idx="9">
                  <c:v>2.5411609150537959</c:v>
                </c:pt>
                <c:pt idx="10">
                  <c:v>3.1357106546818554</c:v>
                </c:pt>
                <c:pt idx="11">
                  <c:v>3.7307075739983717</c:v>
                </c:pt>
                <c:pt idx="12">
                  <c:v>4.3253976955547593</c:v>
                </c:pt>
                <c:pt idx="13">
                  <c:v>4.920289276376236</c:v>
                </c:pt>
                <c:pt idx="14">
                  <c:v>5.5150454426690008</c:v>
                </c:pt>
                <c:pt idx="15">
                  <c:v>6.1098914794775956</c:v>
                </c:pt>
                <c:pt idx="16">
                  <c:v>6.704677450910693</c:v>
                </c:pt>
                <c:pt idx="17">
                  <c:v>7.2995034081258288</c:v>
                </c:pt>
                <c:pt idx="18">
                  <c:v>7.8943026856541945</c:v>
                </c:pt>
                <c:pt idx="19">
                  <c:v>8.4891197407086789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Sheet5!$E$27</c:f>
              <c:strCache>
                <c:ptCount val="1"/>
                <c:pt idx="0">
                  <c:v>a4</c:v>
                </c:pt>
              </c:strCache>
            </c:strRef>
          </c:tx>
          <c:xVal>
            <c:numRef>
              <c:f>Sheet5!$A$28:$A$47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Sheet5!$E$28:$E$47</c:f>
              <c:numCache>
                <c:formatCode>General</c:formatCode>
                <c:ptCount val="20"/>
                <c:pt idx="0">
                  <c:v>-4.3001414072930935</c:v>
                </c:pt>
                <c:pt idx="1">
                  <c:v>-3.6009361627777046</c:v>
                </c:pt>
                <c:pt idx="2">
                  <c:v>-2.9340584722243812</c:v>
                </c:pt>
                <c:pt idx="3">
                  <c:v>-2.2967034447697512</c:v>
                </c:pt>
                <c:pt idx="4">
                  <c:v>-1.6837912964954103</c:v>
                </c:pt>
                <c:pt idx="5">
                  <c:v>-1.079709715212871</c:v>
                </c:pt>
                <c:pt idx="6">
                  <c:v>-0.48207100394504387</c:v>
                </c:pt>
                <c:pt idx="7">
                  <c:v>0.11450638789184786</c:v>
                </c:pt>
                <c:pt idx="8">
                  <c:v>0.70957010581329483</c:v>
                </c:pt>
                <c:pt idx="9">
                  <c:v>1.304763066479725</c:v>
                </c:pt>
                <c:pt idx="10">
                  <c:v>1.8995274080243745</c:v>
                </c:pt>
                <c:pt idx="11">
                  <c:v>2.4944468268435518</c:v>
                </c:pt>
                <c:pt idx="12">
                  <c:v>3.089213405567441</c:v>
                </c:pt>
                <c:pt idx="13">
                  <c:v>3.6840633263707243</c:v>
                </c:pt>
                <c:pt idx="14">
                  <c:v>4.27885074830278</c:v>
                </c:pt>
                <c:pt idx="15">
                  <c:v>4.8736772484350901</c:v>
                </c:pt>
                <c:pt idx="16">
                  <c:v>5.4684767302073416</c:v>
                </c:pt>
                <c:pt idx="17">
                  <c:v>6.0632938626045521</c:v>
                </c:pt>
                <c:pt idx="18">
                  <c:v>6.658099091905834</c:v>
                </c:pt>
                <c:pt idx="19">
                  <c:v>7.2529122051083679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Sheet5!$F$27</c:f>
              <c:strCache>
                <c:ptCount val="1"/>
                <c:pt idx="0">
                  <c:v>a5</c:v>
                </c:pt>
              </c:strCache>
            </c:strRef>
          </c:tx>
          <c:xVal>
            <c:numRef>
              <c:f>Sheet5!$A$28:$A$47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Sheet5!$F$28:$F$47</c:f>
              <c:numCache>
                <c:formatCode>General</c:formatCode>
                <c:ptCount val="20"/>
                <c:pt idx="0">
                  <c:v>-6.2354710762215264</c:v>
                </c:pt>
                <c:pt idx="1">
                  <c:v>-5.5474651555443932</c:v>
                </c:pt>
                <c:pt idx="2">
                  <c:v>-4.8734913261461603</c:v>
                </c:pt>
                <c:pt idx="3">
                  <c:v>-4.2237661077939581</c:v>
                </c:pt>
                <c:pt idx="4">
                  <c:v>-3.5984149525408933</c:v>
                </c:pt>
                <c:pt idx="5">
                  <c:v>-2.9871874689580609</c:v>
                </c:pt>
                <c:pt idx="6">
                  <c:v>-2.3849962721954836</c:v>
                </c:pt>
                <c:pt idx="7">
                  <c:v>-1.7865437137406535</c:v>
                </c:pt>
                <c:pt idx="8">
                  <c:v>-1.1903489617005834</c:v>
                </c:pt>
                <c:pt idx="9">
                  <c:v>-0.59482194655057519</c:v>
                </c:pt>
                <c:pt idx="10">
                  <c:v>1.9669142435341236E-4</c:v>
                </c:pt>
                <c:pt idx="11">
                  <c:v>0.59514918451182708</c:v>
                </c:pt>
                <c:pt idx="12">
                  <c:v>1.1899777389614921</c:v>
                </c:pt>
                <c:pt idx="13">
                  <c:v>1.7848205377033102</c:v>
                </c:pt>
                <c:pt idx="14">
                  <c:v>2.3796264189508829</c:v>
                </c:pt>
                <c:pt idx="15">
                  <c:v>2.9744460461741444</c:v>
                </c:pt>
                <c:pt idx="16">
                  <c:v>3.5692522431468801</c:v>
                </c:pt>
                <c:pt idx="17">
                  <c:v>4.1640657304173745</c:v>
                </c:pt>
                <c:pt idx="18">
                  <c:v>4.7588737123834877</c:v>
                </c:pt>
                <c:pt idx="19">
                  <c:v>5.3536851151771341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Sheet5!$G$27</c:f>
              <c:strCache>
                <c:ptCount val="1"/>
                <c:pt idx="0">
                  <c:v>a6</c:v>
                </c:pt>
              </c:strCache>
            </c:strRef>
          </c:tx>
          <c:xVal>
            <c:numRef>
              <c:f>Sheet5!$A$28:$A$47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Sheet5!$G$28:$G$47</c:f>
              <c:numCache>
                <c:formatCode>General</c:formatCode>
                <c:ptCount val="20"/>
                <c:pt idx="0">
                  <c:v>-7.4918812664576002</c:v>
                </c:pt>
                <c:pt idx="1">
                  <c:v>-6.7514898449996101</c:v>
                </c:pt>
                <c:pt idx="2">
                  <c:v>-6.0520801075167494</c:v>
                </c:pt>
                <c:pt idx="3">
                  <c:v>-5.3837940135955149</c:v>
                </c:pt>
                <c:pt idx="4">
                  <c:v>-4.7424827194688053</c:v>
                </c:pt>
                <c:pt idx="5">
                  <c:v>-4.1203822463399193</c:v>
                </c:pt>
                <c:pt idx="6">
                  <c:v>-3.5111769162306929</c:v>
                </c:pt>
                <c:pt idx="7">
                  <c:v>-2.9090305040750719</c:v>
                </c:pt>
                <c:pt idx="8">
                  <c:v>-2.3108183768208357</c:v>
                </c:pt>
                <c:pt idx="9">
                  <c:v>-1.7143895486997138</c:v>
                </c:pt>
                <c:pt idx="10">
                  <c:v>-1.1188989810109158</c:v>
                </c:pt>
                <c:pt idx="11">
                  <c:v>-0.52376685858855154</c:v>
                </c:pt>
                <c:pt idx="12">
                  <c:v>7.1162971474023839E-2</c:v>
                </c:pt>
                <c:pt idx="13">
                  <c:v>0.66603478774376279</c:v>
                </c:pt>
                <c:pt idx="14">
                  <c:v>1.2608626514004833</c:v>
                </c:pt>
                <c:pt idx="15">
                  <c:v>1.8556850241650358</c:v>
                </c:pt>
                <c:pt idx="16">
                  <c:v>2.4504966133132067</c:v>
                </c:pt>
                <c:pt idx="17">
                  <c:v>3.0453094678796311</c:v>
                </c:pt>
                <c:pt idx="18">
                  <c:v>3.6401190740680622</c:v>
                </c:pt>
                <c:pt idx="19">
                  <c:v>4.2349298779963238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Sheet5!$H$27</c:f>
              <c:strCache>
                <c:ptCount val="1"/>
                <c:pt idx="0">
                  <c:v>a7</c:v>
                </c:pt>
              </c:strCache>
            </c:strRef>
          </c:tx>
          <c:xVal>
            <c:numRef>
              <c:f>Sheet5!$A$28:$A$47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Sheet5!$H$28:$H$47</c:f>
              <c:numCache>
                <c:formatCode>General</c:formatCode>
                <c:ptCount val="20"/>
                <c:pt idx="0">
                  <c:v>-9.1315000018491581</c:v>
                </c:pt>
                <c:pt idx="1">
                  <c:v>-8.3355421805237597</c:v>
                </c:pt>
                <c:pt idx="2">
                  <c:v>-7.6018930866236589</c:v>
                </c:pt>
                <c:pt idx="3">
                  <c:v>-6.9108609968852921</c:v>
                </c:pt>
                <c:pt idx="4">
                  <c:v>-6.2524104833186316</c:v>
                </c:pt>
                <c:pt idx="5">
                  <c:v>-5.6178872355923488</c:v>
                </c:pt>
                <c:pt idx="6">
                  <c:v>-5.0000931015454961</c:v>
                </c:pt>
                <c:pt idx="7">
                  <c:v>-4.3926736124412757</c:v>
                </c:pt>
                <c:pt idx="8">
                  <c:v>-3.7913725744674567</c:v>
                </c:pt>
                <c:pt idx="9">
                  <c:v>-3.1933141409572574</c:v>
                </c:pt>
                <c:pt idx="10">
                  <c:v>-2.5969660813274285</c:v>
                </c:pt>
                <c:pt idx="11">
                  <c:v>-2.0014283021428056</c:v>
                </c:pt>
                <c:pt idx="12">
                  <c:v>-1.4062957363066775</c:v>
                </c:pt>
                <c:pt idx="13">
                  <c:v>-0.81133698768533213</c:v>
                </c:pt>
                <c:pt idx="14">
                  <c:v>-0.21646549171884621</c:v>
                </c:pt>
                <c:pt idx="15">
                  <c:v>0.378373256008111</c:v>
                </c:pt>
                <c:pt idx="16">
                  <c:v>0.97319389818758517</c:v>
                </c:pt>
                <c:pt idx="17">
                  <c:v>1.5680093486391442</c:v>
                </c:pt>
                <c:pt idx="18">
                  <c:v>2.1628209029232357</c:v>
                </c:pt>
                <c:pt idx="19">
                  <c:v>2.7576319569702381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26208"/>
        <c:axId val="159327744"/>
      </c:scatterChart>
      <c:valAx>
        <c:axId val="159326208"/>
        <c:scaling>
          <c:orientation val="minMax"/>
          <c:max val="7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159327744"/>
        <c:crosses val="autoZero"/>
        <c:crossBetween val="midCat"/>
      </c:valAx>
      <c:valAx>
        <c:axId val="159327744"/>
        <c:scaling>
          <c:orientation val="minMax"/>
          <c:max val="10"/>
          <c:min val="-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3262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Sheet6!$E$4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Sheet6!$D$5:$D$14</c:f>
              <c:numCache>
                <c:formatCode>General</c:formatCode>
                <c:ptCount val="10"/>
                <c:pt idx="0">
                  <c:v>0.70710678118654746</c:v>
                </c:pt>
                <c:pt idx="1">
                  <c:v>-1.2247448713915885</c:v>
                </c:pt>
                <c:pt idx="2">
                  <c:v>-0.44828773608402783</c:v>
                </c:pt>
                <c:pt idx="3">
                  <c:v>3.0872461698487115</c:v>
                </c:pt>
                <c:pt idx="4">
                  <c:v>-4.6401604404638297</c:v>
                </c:pt>
                <c:pt idx="5">
                  <c:v>-1.2755128541310761</c:v>
                </c:pt>
                <c:pt idx="6">
                  <c:v>13.573729550786435</c:v>
                </c:pt>
                <c:pt idx="7">
                  <c:v>-19.267748543041851</c:v>
                </c:pt>
                <c:pt idx="8">
                  <c:v>-5.0327010624033193</c:v>
                </c:pt>
                <c:pt idx="9">
                  <c:v>57.899802463199507</c:v>
                </c:pt>
              </c:numCache>
            </c:numRef>
          </c:xVal>
          <c:yVal>
            <c:numRef>
              <c:f>Sheet6!$E$5:$E$14</c:f>
              <c:numCache>
                <c:formatCode>General</c:formatCode>
                <c:ptCount val="10"/>
                <c:pt idx="0">
                  <c:v>0.70710678118654746</c:v>
                </c:pt>
                <c:pt idx="1">
                  <c:v>1.2247448713915894</c:v>
                </c:pt>
                <c:pt idx="2">
                  <c:v>-1.6730326074756148</c:v>
                </c:pt>
                <c:pt idx="3">
                  <c:v>1.8625012984571194</c:v>
                </c:pt>
                <c:pt idx="4">
                  <c:v>3.933053659277292</c:v>
                </c:pt>
                <c:pt idx="5">
                  <c:v>-8.6239820824805928</c:v>
                </c:pt>
                <c:pt idx="6">
                  <c:v>6.2252603224368759</c:v>
                </c:pt>
                <c:pt idx="7">
                  <c:v>15.025107855922633</c:v>
                </c:pt>
                <c:pt idx="8">
                  <c:v>-38.100812589976115</c:v>
                </c:pt>
                <c:pt idx="9">
                  <c:v>24.831690935626433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0864"/>
        <c:axId val="49987584"/>
      </c:scatterChart>
      <c:valAx>
        <c:axId val="49620864"/>
        <c:scaling>
          <c:orientation val="minMax"/>
          <c:max val="40"/>
          <c:min val="-40"/>
        </c:scaling>
        <c:delete val="0"/>
        <c:axPos val="b"/>
        <c:numFmt formatCode="General" sourceLinked="1"/>
        <c:majorTickMark val="out"/>
        <c:minorTickMark val="none"/>
        <c:tickLblPos val="nextTo"/>
        <c:crossAx val="49987584"/>
        <c:crosses val="autoZero"/>
        <c:crossBetween val="midCat"/>
      </c:valAx>
      <c:valAx>
        <c:axId val="49987584"/>
        <c:scaling>
          <c:orientation val="minMax"/>
          <c:max val="30"/>
          <c:min val="-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6208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6</xdr:row>
      <xdr:rowOff>19050</xdr:rowOff>
    </xdr:from>
    <xdr:to>
      <xdr:col>10</xdr:col>
      <xdr:colOff>485775</xdr:colOff>
      <xdr:row>22</xdr:row>
      <xdr:rowOff>19050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652462</xdr:colOff>
      <xdr:row>3</xdr:row>
      <xdr:rowOff>128587</xdr:rowOff>
    </xdr:from>
    <xdr:to>
      <xdr:col>10</xdr:col>
      <xdr:colOff>423862</xdr:colOff>
      <xdr:row>19</xdr:row>
      <xdr:rowOff>128587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</xdr:colOff>
      <xdr:row>22</xdr:row>
      <xdr:rowOff>42862</xdr:rowOff>
    </xdr:from>
    <xdr:to>
      <xdr:col>7</xdr:col>
      <xdr:colOff>481012</xdr:colOff>
      <xdr:row>38</xdr:row>
      <xdr:rowOff>42862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17</xdr:row>
      <xdr:rowOff>0</xdr:rowOff>
    </xdr:from>
    <xdr:to>
      <xdr:col>12</xdr:col>
      <xdr:colOff>390525</xdr:colOff>
      <xdr:row>33</xdr:row>
      <xdr:rowOff>0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17</xdr:col>
      <xdr:colOff>457200</xdr:colOff>
      <xdr:row>17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C1" sqref="C1"/>
    </sheetView>
  </sheetViews>
  <sheetFormatPr defaultRowHeight="13.5" x14ac:dyDescent="0.15"/>
  <sheetData>
    <row r="1" spans="1:2" x14ac:dyDescent="0.15">
      <c r="A1" t="s">
        <v>0</v>
      </c>
      <c r="B1">
        <v>0.22991803550936896</v>
      </c>
    </row>
    <row r="2" spans="1:2" x14ac:dyDescent="0.15">
      <c r="A2" t="s">
        <v>1</v>
      </c>
      <c r="B2">
        <f>3*B1^3-2*B1^2+9*B1-2</f>
        <v>-2.9590966788006767E-7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7"/>
  <sheetViews>
    <sheetView workbookViewId="0">
      <selection activeCell="I1" sqref="I1"/>
    </sheetView>
  </sheetViews>
  <sheetFormatPr defaultRowHeight="13.5" x14ac:dyDescent="0.15"/>
  <sheetData>
    <row r="1" spans="1:3" x14ac:dyDescent="0.15">
      <c r="A1" t="s">
        <v>2</v>
      </c>
      <c r="B1">
        <v>10</v>
      </c>
      <c r="C1">
        <v>10</v>
      </c>
    </row>
    <row r="2" spans="1:3" x14ac:dyDescent="0.15">
      <c r="A2" t="s">
        <v>3</v>
      </c>
      <c r="B2">
        <v>10</v>
      </c>
      <c r="C2">
        <v>20</v>
      </c>
    </row>
    <row r="3" spans="1:3" x14ac:dyDescent="0.15">
      <c r="A3" t="s">
        <v>4</v>
      </c>
      <c r="B3">
        <v>1</v>
      </c>
      <c r="C3">
        <v>1</v>
      </c>
    </row>
    <row r="4" spans="1:3" x14ac:dyDescent="0.15">
      <c r="A4" t="s">
        <v>5</v>
      </c>
      <c r="B4">
        <v>1</v>
      </c>
      <c r="C4">
        <v>0.71</v>
      </c>
    </row>
    <row r="5" spans="1:3" x14ac:dyDescent="0.15">
      <c r="B5" t="s">
        <v>7</v>
      </c>
    </row>
    <row r="6" spans="1:3" x14ac:dyDescent="0.15">
      <c r="A6" t="s">
        <v>6</v>
      </c>
      <c r="B6" t="s">
        <v>8</v>
      </c>
      <c r="C6" t="s">
        <v>9</v>
      </c>
    </row>
    <row r="7" spans="1:3" x14ac:dyDescent="0.15">
      <c r="A7">
        <v>0</v>
      </c>
      <c r="B7">
        <f>B$3*COS(B$4*$A7)</f>
        <v>1</v>
      </c>
      <c r="C7">
        <f>C$3*COS(C$4*$A7)</f>
        <v>1</v>
      </c>
    </row>
    <row r="8" spans="1:3" x14ac:dyDescent="0.15">
      <c r="A8">
        <f>A7+0.5</f>
        <v>0.5</v>
      </c>
      <c r="B8">
        <f t="shared" ref="B8:B67" si="0">B$3*COS(B$4*A8)</f>
        <v>0.87758256189037276</v>
      </c>
      <c r="C8">
        <f t="shared" ref="C8:C67" si="1">C$3*COS(C$4*$A8)</f>
        <v>0.93764648881934931</v>
      </c>
    </row>
    <row r="9" spans="1:3" x14ac:dyDescent="0.15">
      <c r="A9">
        <f t="shared" ref="A9:A67" si="2">A8+0.5</f>
        <v>1</v>
      </c>
      <c r="B9">
        <f t="shared" si="0"/>
        <v>0.54030230586813977</v>
      </c>
      <c r="C9">
        <f t="shared" si="1"/>
        <v>0.75836187599050819</v>
      </c>
    </row>
    <row r="10" spans="1:3" x14ac:dyDescent="0.15">
      <c r="A10">
        <f t="shared" si="2"/>
        <v>1.5</v>
      </c>
      <c r="B10">
        <f t="shared" si="0"/>
        <v>7.0737201667702906E-2</v>
      </c>
      <c r="C10">
        <f t="shared" si="1"/>
        <v>0.48450421173456026</v>
      </c>
    </row>
    <row r="11" spans="1:3" x14ac:dyDescent="0.15">
      <c r="A11">
        <f t="shared" si="2"/>
        <v>2</v>
      </c>
      <c r="B11">
        <f t="shared" si="0"/>
        <v>-0.41614683654714241</v>
      </c>
      <c r="C11">
        <f t="shared" si="1"/>
        <v>0.15022546991168584</v>
      </c>
    </row>
    <row r="12" spans="1:3" x14ac:dyDescent="0.15">
      <c r="A12">
        <f t="shared" si="2"/>
        <v>2.5</v>
      </c>
      <c r="B12">
        <f t="shared" si="0"/>
        <v>-0.8011436155469337</v>
      </c>
      <c r="C12">
        <f t="shared" si="1"/>
        <v>-0.20278744294670223</v>
      </c>
    </row>
    <row r="13" spans="1:3" x14ac:dyDescent="0.15">
      <c r="A13">
        <f t="shared" si="2"/>
        <v>3</v>
      </c>
      <c r="B13">
        <f t="shared" si="0"/>
        <v>-0.98999249660044542</v>
      </c>
      <c r="C13">
        <f t="shared" si="1"/>
        <v>-0.53051133762294478</v>
      </c>
    </row>
    <row r="14" spans="1:3" x14ac:dyDescent="0.15">
      <c r="A14">
        <f t="shared" si="2"/>
        <v>3.5</v>
      </c>
      <c r="B14">
        <f t="shared" si="0"/>
        <v>-0.93645668729079634</v>
      </c>
      <c r="C14">
        <f t="shared" si="1"/>
        <v>-0.79207674305531872</v>
      </c>
    </row>
    <row r="15" spans="1:3" x14ac:dyDescent="0.15">
      <c r="A15">
        <f t="shared" si="2"/>
        <v>4</v>
      </c>
      <c r="B15">
        <f t="shared" si="0"/>
        <v>-0.65364362086361194</v>
      </c>
      <c r="C15">
        <f t="shared" si="1"/>
        <v>-0.95486461637962639</v>
      </c>
    </row>
    <row r="16" spans="1:3" x14ac:dyDescent="0.15">
      <c r="A16">
        <f t="shared" si="2"/>
        <v>4.5</v>
      </c>
      <c r="B16">
        <f t="shared" si="0"/>
        <v>-0.2107957994307797</v>
      </c>
      <c r="C16">
        <f t="shared" si="1"/>
        <v>-0.99857416663706433</v>
      </c>
    </row>
    <row r="17" spans="1:3" x14ac:dyDescent="0.15">
      <c r="A17">
        <f t="shared" si="2"/>
        <v>5</v>
      </c>
      <c r="B17">
        <f t="shared" si="0"/>
        <v>0.28366218546322625</v>
      </c>
      <c r="C17">
        <f t="shared" si="1"/>
        <v>-0.91775450596627595</v>
      </c>
    </row>
    <row r="18" spans="1:3" x14ac:dyDescent="0.15">
      <c r="A18">
        <f t="shared" si="2"/>
        <v>5.5</v>
      </c>
      <c r="B18">
        <f t="shared" si="0"/>
        <v>0.70866977429125999</v>
      </c>
      <c r="C18">
        <f t="shared" si="1"/>
        <v>-0.72248441359776605</v>
      </c>
    </row>
    <row r="19" spans="1:3" x14ac:dyDescent="0.15">
      <c r="A19">
        <f t="shared" si="2"/>
        <v>6</v>
      </c>
      <c r="B19">
        <f t="shared" si="0"/>
        <v>0.96017028665036597</v>
      </c>
      <c r="C19">
        <f t="shared" si="1"/>
        <v>-0.43711544130702784</v>
      </c>
    </row>
    <row r="20" spans="1:3" x14ac:dyDescent="0.15">
      <c r="A20">
        <f t="shared" si="2"/>
        <v>6.5</v>
      </c>
      <c r="B20">
        <f t="shared" si="0"/>
        <v>0.97658762572802349</v>
      </c>
      <c r="C20">
        <f t="shared" si="1"/>
        <v>-9.723510390274348E-2</v>
      </c>
    </row>
    <row r="21" spans="1:3" x14ac:dyDescent="0.15">
      <c r="A21">
        <f t="shared" si="2"/>
        <v>7</v>
      </c>
      <c r="B21">
        <f t="shared" si="0"/>
        <v>0.7539022543433046</v>
      </c>
      <c r="C21">
        <f t="shared" si="1"/>
        <v>0.25477113377824295</v>
      </c>
    </row>
    <row r="22" spans="1:3" x14ac:dyDescent="0.15">
      <c r="A22">
        <f t="shared" si="2"/>
        <v>7.5</v>
      </c>
      <c r="B22">
        <f t="shared" si="0"/>
        <v>0.34663531783502582</v>
      </c>
      <c r="C22">
        <f t="shared" si="1"/>
        <v>0.57500562198213201</v>
      </c>
    </row>
    <row r="23" spans="1:3" x14ac:dyDescent="0.15">
      <c r="A23">
        <f t="shared" si="2"/>
        <v>8</v>
      </c>
      <c r="B23">
        <f t="shared" si="0"/>
        <v>-0.14550003380861354</v>
      </c>
      <c r="C23">
        <f t="shared" si="1"/>
        <v>0.82353287122762198</v>
      </c>
    </row>
    <row r="24" spans="1:3" x14ac:dyDescent="0.15">
      <c r="A24">
        <f t="shared" si="2"/>
        <v>8.5</v>
      </c>
      <c r="B24">
        <f t="shared" si="0"/>
        <v>-0.60201190268482363</v>
      </c>
      <c r="C24">
        <f t="shared" si="1"/>
        <v>0.96935978828566183</v>
      </c>
    </row>
    <row r="25" spans="1:3" x14ac:dyDescent="0.15">
      <c r="A25">
        <f t="shared" si="2"/>
        <v>9</v>
      </c>
      <c r="B25">
        <f t="shared" si="0"/>
        <v>-0.91113026188467694</v>
      </c>
      <c r="C25">
        <f t="shared" si="1"/>
        <v>0.99430073254981499</v>
      </c>
    </row>
    <row r="26" spans="1:3" x14ac:dyDescent="0.15">
      <c r="A26">
        <f t="shared" si="2"/>
        <v>9.5</v>
      </c>
      <c r="B26">
        <f t="shared" si="0"/>
        <v>-0.99717215619637845</v>
      </c>
      <c r="C26">
        <f t="shared" si="1"/>
        <v>0.89524539312602036</v>
      </c>
    </row>
    <row r="27" spans="1:3" x14ac:dyDescent="0.15">
      <c r="A27">
        <f t="shared" si="2"/>
        <v>10</v>
      </c>
      <c r="B27">
        <f t="shared" si="0"/>
        <v>-0.83907152907645244</v>
      </c>
      <c r="C27">
        <f t="shared" si="1"/>
        <v>0.6845466664428066</v>
      </c>
    </row>
    <row r="28" spans="1:3" x14ac:dyDescent="0.15">
      <c r="A28">
        <f t="shared" si="2"/>
        <v>10.5</v>
      </c>
      <c r="B28">
        <f t="shared" si="0"/>
        <v>-0.47553692799599251</v>
      </c>
      <c r="C28">
        <f t="shared" si="1"/>
        <v>0.38848016332015517</v>
      </c>
    </row>
    <row r="29" spans="1:3" x14ac:dyDescent="0.15">
      <c r="A29">
        <f t="shared" si="2"/>
        <v>11</v>
      </c>
      <c r="B29">
        <f t="shared" si="0"/>
        <v>4.4256979880507854E-3</v>
      </c>
      <c r="C29">
        <f t="shared" si="1"/>
        <v>4.3967455783415911E-2</v>
      </c>
    </row>
    <row r="30" spans="1:3" x14ac:dyDescent="0.15">
      <c r="A30">
        <f t="shared" si="2"/>
        <v>11.5</v>
      </c>
      <c r="B30">
        <f t="shared" si="0"/>
        <v>0.48330475875300588</v>
      </c>
      <c r="C30">
        <f t="shared" si="1"/>
        <v>-0.30602830224487532</v>
      </c>
    </row>
    <row r="31" spans="1:3" x14ac:dyDescent="0.15">
      <c r="A31">
        <f t="shared" si="2"/>
        <v>12</v>
      </c>
      <c r="B31">
        <f t="shared" si="0"/>
        <v>0.84385395873249214</v>
      </c>
      <c r="C31">
        <f t="shared" si="1"/>
        <v>-0.6178601819419246</v>
      </c>
    </row>
    <row r="32" spans="1:3" x14ac:dyDescent="0.15">
      <c r="A32">
        <f t="shared" si="2"/>
        <v>12.5</v>
      </c>
      <c r="B32">
        <f t="shared" si="0"/>
        <v>0.99779827917858066</v>
      </c>
      <c r="C32">
        <f t="shared" si="1"/>
        <v>-0.85264055811338424</v>
      </c>
    </row>
    <row r="33" spans="1:3" x14ac:dyDescent="0.15">
      <c r="A33">
        <f t="shared" si="2"/>
        <v>13</v>
      </c>
      <c r="B33">
        <f t="shared" si="0"/>
        <v>0.90744678145019619</v>
      </c>
      <c r="C33">
        <f t="shared" si="1"/>
        <v>-0.98109066913804532</v>
      </c>
    </row>
    <row r="34" spans="1:3" x14ac:dyDescent="0.15">
      <c r="A34">
        <f t="shared" si="2"/>
        <v>13.5</v>
      </c>
      <c r="B34">
        <f t="shared" si="0"/>
        <v>0.59492066330989202</v>
      </c>
      <c r="C34">
        <f t="shared" si="1"/>
        <v>-0.98719188414804404</v>
      </c>
    </row>
    <row r="35" spans="1:3" x14ac:dyDescent="0.15">
      <c r="A35">
        <f t="shared" si="2"/>
        <v>14</v>
      </c>
      <c r="B35">
        <f t="shared" si="0"/>
        <v>0.13673721820783361</v>
      </c>
      <c r="C35">
        <f t="shared" si="1"/>
        <v>-0.87018333878669729</v>
      </c>
    </row>
    <row r="36" spans="1:3" x14ac:dyDescent="0.15">
      <c r="A36">
        <f t="shared" si="2"/>
        <v>14.5</v>
      </c>
      <c r="B36">
        <f t="shared" si="0"/>
        <v>-0.35492426678870498</v>
      </c>
      <c r="C36">
        <f t="shared" si="1"/>
        <v>-0.64465682033684568</v>
      </c>
    </row>
    <row r="37" spans="1:3" x14ac:dyDescent="0.15">
      <c r="A37">
        <f t="shared" si="2"/>
        <v>15</v>
      </c>
      <c r="B37">
        <f t="shared" si="0"/>
        <v>-0.75968791285882131</v>
      </c>
      <c r="C37">
        <f t="shared" si="1"/>
        <v>-0.338737069377883</v>
      </c>
    </row>
    <row r="38" spans="1:3" x14ac:dyDescent="0.15">
      <c r="A38">
        <f t="shared" si="2"/>
        <v>15.5</v>
      </c>
      <c r="B38">
        <f t="shared" si="0"/>
        <v>-0.97845346281888423</v>
      </c>
      <c r="C38">
        <f t="shared" si="1"/>
        <v>9.4255728665904488E-3</v>
      </c>
    </row>
    <row r="39" spans="1:3" x14ac:dyDescent="0.15">
      <c r="A39">
        <f t="shared" si="2"/>
        <v>16</v>
      </c>
      <c r="B39">
        <f t="shared" si="0"/>
        <v>-0.95765948032338466</v>
      </c>
      <c r="C39">
        <f t="shared" si="1"/>
        <v>0.35641277998482196</v>
      </c>
    </row>
    <row r="40" spans="1:3" x14ac:dyDescent="0.15">
      <c r="A40">
        <f t="shared" si="2"/>
        <v>16.5</v>
      </c>
      <c r="B40">
        <f t="shared" si="0"/>
        <v>-0.70239705750271353</v>
      </c>
      <c r="C40">
        <f t="shared" si="1"/>
        <v>0.65895281057963251</v>
      </c>
    </row>
    <row r="41" spans="1:3" x14ac:dyDescent="0.15">
      <c r="A41">
        <f t="shared" si="2"/>
        <v>17</v>
      </c>
      <c r="B41">
        <f t="shared" si="0"/>
        <v>-0.27516333805159693</v>
      </c>
      <c r="C41">
        <f t="shared" si="1"/>
        <v>0.87931679829044629</v>
      </c>
    </row>
    <row r="42" spans="1:3" x14ac:dyDescent="0.15">
      <c r="A42">
        <f t="shared" si="2"/>
        <v>17.5</v>
      </c>
      <c r="B42">
        <f t="shared" si="0"/>
        <v>0.21943996321145931</v>
      </c>
      <c r="C42">
        <f t="shared" si="1"/>
        <v>0.99002380637418474</v>
      </c>
    </row>
    <row r="43" spans="1:3" x14ac:dyDescent="0.15">
      <c r="A43">
        <f t="shared" si="2"/>
        <v>18</v>
      </c>
      <c r="B43">
        <f t="shared" si="0"/>
        <v>0.66031670824408017</v>
      </c>
      <c r="C43">
        <f t="shared" si="1"/>
        <v>0.97726789349819765</v>
      </c>
    </row>
    <row r="44" spans="1:3" x14ac:dyDescent="0.15">
      <c r="A44">
        <f t="shared" si="2"/>
        <v>18.5</v>
      </c>
      <c r="B44">
        <f t="shared" si="0"/>
        <v>0.93952489374825598</v>
      </c>
      <c r="C44">
        <f t="shared" si="1"/>
        <v>0.84263981157474843</v>
      </c>
    </row>
    <row r="45" spans="1:3" x14ac:dyDescent="0.15">
      <c r="A45">
        <f t="shared" si="2"/>
        <v>19</v>
      </c>
      <c r="B45">
        <f t="shared" si="0"/>
        <v>0.98870461818666922</v>
      </c>
      <c r="C45">
        <f t="shared" si="1"/>
        <v>0.60292862782672552</v>
      </c>
    </row>
    <row r="46" spans="1:3" x14ac:dyDescent="0.15">
      <c r="A46">
        <f t="shared" si="2"/>
        <v>19.5</v>
      </c>
      <c r="B46">
        <f t="shared" si="0"/>
        <v>0.79581496981394406</v>
      </c>
      <c r="C46">
        <f t="shared" si="1"/>
        <v>0.28802801020604513</v>
      </c>
    </row>
    <row r="47" spans="1:3" x14ac:dyDescent="0.15">
      <c r="A47">
        <f t="shared" si="2"/>
        <v>20</v>
      </c>
      <c r="B47">
        <f t="shared" si="0"/>
        <v>0.40808206181339196</v>
      </c>
      <c r="C47">
        <f t="shared" si="1"/>
        <v>-6.2791722924081764E-2</v>
      </c>
    </row>
    <row r="48" spans="1:3" x14ac:dyDescent="0.15">
      <c r="A48">
        <f t="shared" si="2"/>
        <v>20.5</v>
      </c>
      <c r="B48">
        <f t="shared" si="0"/>
        <v>-7.9563567278540068E-2</v>
      </c>
      <c r="C48">
        <f t="shared" si="1"/>
        <v>-0.40578088725941053</v>
      </c>
    </row>
    <row r="49" spans="1:3" x14ac:dyDescent="0.15">
      <c r="A49">
        <f t="shared" si="2"/>
        <v>21</v>
      </c>
      <c r="B49">
        <f t="shared" si="0"/>
        <v>-0.54772926022426838</v>
      </c>
      <c r="C49">
        <f t="shared" si="1"/>
        <v>-0.69816632541349111</v>
      </c>
    </row>
    <row r="50" spans="1:3" x14ac:dyDescent="0.15">
      <c r="A50">
        <f t="shared" si="2"/>
        <v>21.5</v>
      </c>
      <c r="B50">
        <f t="shared" si="0"/>
        <v>-0.88179172754132418</v>
      </c>
      <c r="C50">
        <f t="shared" si="1"/>
        <v>-0.90348552001232285</v>
      </c>
    </row>
    <row r="51" spans="1:3" x14ac:dyDescent="0.15">
      <c r="A51">
        <f t="shared" si="2"/>
        <v>22</v>
      </c>
      <c r="B51">
        <f t="shared" si="0"/>
        <v>-0.99996082639463713</v>
      </c>
      <c r="C51">
        <f t="shared" si="1"/>
        <v>-0.99613372566386671</v>
      </c>
    </row>
    <row r="52" spans="1:3" x14ac:dyDescent="0.15">
      <c r="A52">
        <f t="shared" si="2"/>
        <v>22.5</v>
      </c>
      <c r="B52">
        <f t="shared" si="0"/>
        <v>-0.87330464009351561</v>
      </c>
      <c r="C52">
        <f t="shared" si="1"/>
        <v>-0.96455706051419998</v>
      </c>
    </row>
    <row r="53" spans="1:3" x14ac:dyDescent="0.15">
      <c r="A53">
        <f t="shared" si="2"/>
        <v>23</v>
      </c>
      <c r="B53">
        <f t="shared" si="0"/>
        <v>-0.53283302033339752</v>
      </c>
      <c r="C53">
        <f t="shared" si="1"/>
        <v>-0.81269335645023844</v>
      </c>
    </row>
    <row r="54" spans="1:3" x14ac:dyDescent="0.15">
      <c r="A54">
        <f t="shared" si="2"/>
        <v>23.5</v>
      </c>
      <c r="B54">
        <f t="shared" si="0"/>
        <v>-6.1905293994420546E-2</v>
      </c>
      <c r="C54">
        <f t="shared" si="1"/>
        <v>-0.55948108381055517</v>
      </c>
    </row>
    <row r="55" spans="1:3" x14ac:dyDescent="0.15">
      <c r="A55">
        <f t="shared" si="2"/>
        <v>24</v>
      </c>
      <c r="B55">
        <f t="shared" si="0"/>
        <v>0.42417900733699698</v>
      </c>
      <c r="C55">
        <f t="shared" si="1"/>
        <v>-0.23649759114138372</v>
      </c>
    </row>
    <row r="56" spans="1:3" x14ac:dyDescent="0.15">
      <c r="A56">
        <f t="shared" si="2"/>
        <v>24.5</v>
      </c>
      <c r="B56">
        <f t="shared" si="0"/>
        <v>0.80640949391225458</v>
      </c>
      <c r="C56">
        <f t="shared" si="1"/>
        <v>0.11597881191465033</v>
      </c>
    </row>
    <row r="57" spans="1:3" x14ac:dyDescent="0.15">
      <c r="A57">
        <f t="shared" si="2"/>
        <v>25</v>
      </c>
      <c r="B57">
        <f t="shared" si="0"/>
        <v>0.99120281186347359</v>
      </c>
      <c r="C57">
        <f t="shared" si="1"/>
        <v>0.45399184267980686</v>
      </c>
    </row>
    <row r="58" spans="1:3" x14ac:dyDescent="0.15">
      <c r="A58">
        <f t="shared" si="2"/>
        <v>25.5</v>
      </c>
      <c r="B58">
        <f t="shared" si="0"/>
        <v>0.93331511206392204</v>
      </c>
      <c r="C58">
        <f t="shared" si="1"/>
        <v>0.73538890256804412</v>
      </c>
    </row>
    <row r="59" spans="1:3" x14ac:dyDescent="0.15">
      <c r="A59">
        <f t="shared" si="2"/>
        <v>26</v>
      </c>
      <c r="B59">
        <f t="shared" si="0"/>
        <v>0.64691932232864036</v>
      </c>
      <c r="C59">
        <f t="shared" si="1"/>
        <v>0.92507780213947521</v>
      </c>
    </row>
    <row r="60" spans="1:3" x14ac:dyDescent="0.15">
      <c r="A60">
        <f t="shared" si="2"/>
        <v>26.5</v>
      </c>
      <c r="B60">
        <f t="shared" si="0"/>
        <v>0.20213512038718198</v>
      </c>
      <c r="C60">
        <f t="shared" si="1"/>
        <v>0.99940300355355471</v>
      </c>
    </row>
    <row r="61" spans="1:3" x14ac:dyDescent="0.15">
      <c r="A61">
        <f t="shared" si="2"/>
        <v>27</v>
      </c>
      <c r="B61">
        <f t="shared" si="0"/>
        <v>-0.29213880873383619</v>
      </c>
      <c r="C61">
        <f t="shared" si="1"/>
        <v>0.94909563225553029</v>
      </c>
    </row>
    <row r="62" spans="1:3" x14ac:dyDescent="0.15">
      <c r="A62">
        <f t="shared" si="2"/>
        <v>27.5</v>
      </c>
      <c r="B62">
        <f t="shared" si="0"/>
        <v>-0.71488696877966507</v>
      </c>
      <c r="C62">
        <f t="shared" si="1"/>
        <v>0.78042937072280161</v>
      </c>
    </row>
    <row r="63" spans="1:3" x14ac:dyDescent="0.15">
      <c r="A63">
        <f t="shared" si="2"/>
        <v>28</v>
      </c>
      <c r="B63">
        <f t="shared" si="0"/>
        <v>-0.96260586631356659</v>
      </c>
      <c r="C63">
        <f t="shared" si="1"/>
        <v>0.51443808620392795</v>
      </c>
    </row>
    <row r="64" spans="1:3" x14ac:dyDescent="0.15">
      <c r="A64">
        <f t="shared" si="2"/>
        <v>28.5</v>
      </c>
      <c r="B64">
        <f t="shared" si="0"/>
        <v>-0.97464527572065773</v>
      </c>
      <c r="C64">
        <f t="shared" si="1"/>
        <v>0.18429275976531567</v>
      </c>
    </row>
    <row r="65" spans="1:3" x14ac:dyDescent="0.15">
      <c r="A65">
        <f t="shared" si="2"/>
        <v>29</v>
      </c>
      <c r="B65">
        <f t="shared" si="0"/>
        <v>-0.7480575296890003</v>
      </c>
      <c r="C65">
        <f t="shared" si="1"/>
        <v>-0.16883516798637579</v>
      </c>
    </row>
    <row r="66" spans="1:3" x14ac:dyDescent="0.15">
      <c r="A66">
        <f t="shared" si="2"/>
        <v>29.5</v>
      </c>
      <c r="B66">
        <f t="shared" si="0"/>
        <v>-0.33831921097105522</v>
      </c>
      <c r="C66">
        <f t="shared" si="1"/>
        <v>-0.50090816466861621</v>
      </c>
    </row>
    <row r="67" spans="1:3" x14ac:dyDescent="0.15">
      <c r="A67">
        <f t="shared" si="2"/>
        <v>30</v>
      </c>
      <c r="B67">
        <f t="shared" si="0"/>
        <v>0.15425144988758405</v>
      </c>
      <c r="C67">
        <f t="shared" si="1"/>
        <v>-0.7705143956585665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5"/>
  <sheetViews>
    <sheetView workbookViewId="0">
      <selection activeCell="D3" sqref="D3"/>
    </sheetView>
  </sheetViews>
  <sheetFormatPr defaultRowHeight="13.5" x14ac:dyDescent="0.15"/>
  <sheetData>
    <row r="1" spans="1:6" x14ac:dyDescent="0.15">
      <c r="A1" t="s">
        <v>10</v>
      </c>
      <c r="B1">
        <f>10+D1*2</f>
        <v>20</v>
      </c>
      <c r="C1" t="s">
        <v>11</v>
      </c>
      <c r="D1">
        <v>5</v>
      </c>
      <c r="E1" t="s">
        <v>24</v>
      </c>
      <c r="F1">
        <v>9.8000000000000007</v>
      </c>
    </row>
    <row r="2" spans="1:6" x14ac:dyDescent="0.15">
      <c r="A2" t="s">
        <v>23</v>
      </c>
      <c r="B2">
        <f>30+D1*5</f>
        <v>55</v>
      </c>
      <c r="C2" t="s">
        <v>20</v>
      </c>
      <c r="D2">
        <v>1</v>
      </c>
    </row>
    <row r="4" spans="1:6" x14ac:dyDescent="0.15">
      <c r="A4" t="s">
        <v>22</v>
      </c>
      <c r="B4" t="s">
        <v>21</v>
      </c>
      <c r="C4" t="s">
        <v>1</v>
      </c>
    </row>
    <row r="5" spans="1:6" x14ac:dyDescent="0.15">
      <c r="A5">
        <v>0</v>
      </c>
      <c r="B5">
        <f>$B$1*A5*COS(RADIANS(($B$2)))</f>
        <v>0</v>
      </c>
      <c r="C5">
        <f>$B$1*A5*SIN(RADIANS($B$2))-$F$1*A5^2/2</f>
        <v>0</v>
      </c>
    </row>
    <row r="6" spans="1:6" x14ac:dyDescent="0.15">
      <c r="A6">
        <f>A5+$D$2</f>
        <v>1</v>
      </c>
      <c r="B6">
        <f t="shared" ref="B6:B25" si="0">$B$1*A6*COS(RADIANS(($B$2)))</f>
        <v>11.471528727020923</v>
      </c>
      <c r="C6">
        <f t="shared" ref="C6:C25" si="1">$B$1*A6*SIN(RADIANS($B$2))-$F$1*A6^2/2</f>
        <v>11.483040885779834</v>
      </c>
    </row>
    <row r="7" spans="1:6" x14ac:dyDescent="0.15">
      <c r="A7">
        <f t="shared" ref="A7:A25" si="2">A6+$D$2</f>
        <v>2</v>
      </c>
      <c r="B7">
        <f t="shared" si="0"/>
        <v>22.943057454041845</v>
      </c>
      <c r="C7">
        <f t="shared" si="1"/>
        <v>13.166081771559668</v>
      </c>
    </row>
    <row r="8" spans="1:6" x14ac:dyDescent="0.15">
      <c r="A8">
        <f t="shared" si="2"/>
        <v>3</v>
      </c>
      <c r="B8">
        <f t="shared" si="0"/>
        <v>34.414586181062766</v>
      </c>
      <c r="C8">
        <f t="shared" si="1"/>
        <v>5.0491226573395096</v>
      </c>
    </row>
    <row r="9" spans="1:6" x14ac:dyDescent="0.15">
      <c r="A9">
        <f t="shared" si="2"/>
        <v>4</v>
      </c>
      <c r="B9">
        <f t="shared" si="0"/>
        <v>45.886114908083691</v>
      </c>
      <c r="C9">
        <f t="shared" si="1"/>
        <v>-12.867836456880667</v>
      </c>
    </row>
    <row r="10" spans="1:6" x14ac:dyDescent="0.15">
      <c r="A10">
        <f t="shared" si="2"/>
        <v>5</v>
      </c>
      <c r="B10">
        <f t="shared" si="0"/>
        <v>57.357643635104615</v>
      </c>
      <c r="C10">
        <f t="shared" si="1"/>
        <v>-40.584795571100841</v>
      </c>
    </row>
    <row r="11" spans="1:6" x14ac:dyDescent="0.15">
      <c r="A11">
        <f t="shared" si="2"/>
        <v>6</v>
      </c>
      <c r="B11">
        <f t="shared" si="0"/>
        <v>68.829172362125533</v>
      </c>
      <c r="C11">
        <f t="shared" si="1"/>
        <v>-78.101754685320984</v>
      </c>
    </row>
    <row r="12" spans="1:6" x14ac:dyDescent="0.15">
      <c r="A12">
        <f t="shared" si="2"/>
        <v>7</v>
      </c>
      <c r="B12">
        <f t="shared" si="0"/>
        <v>80.300701089146457</v>
      </c>
      <c r="C12">
        <f t="shared" si="1"/>
        <v>-125.41871379954117</v>
      </c>
    </row>
    <row r="13" spans="1:6" x14ac:dyDescent="0.15">
      <c r="A13">
        <f t="shared" si="2"/>
        <v>8</v>
      </c>
      <c r="B13">
        <f t="shared" si="0"/>
        <v>91.772229816167382</v>
      </c>
      <c r="C13">
        <f t="shared" si="1"/>
        <v>-182.53567291376135</v>
      </c>
    </row>
    <row r="14" spans="1:6" x14ac:dyDescent="0.15">
      <c r="A14">
        <f t="shared" si="2"/>
        <v>9</v>
      </c>
      <c r="B14">
        <f t="shared" si="0"/>
        <v>103.24375854318831</v>
      </c>
      <c r="C14">
        <f t="shared" si="1"/>
        <v>-249.45263202798151</v>
      </c>
    </row>
    <row r="15" spans="1:6" x14ac:dyDescent="0.15">
      <c r="A15">
        <f t="shared" si="2"/>
        <v>10</v>
      </c>
      <c r="B15">
        <f t="shared" si="0"/>
        <v>114.71528727020923</v>
      </c>
      <c r="C15">
        <f t="shared" si="1"/>
        <v>-326.16959114220174</v>
      </c>
    </row>
    <row r="16" spans="1:6" x14ac:dyDescent="0.15">
      <c r="A16">
        <f t="shared" si="2"/>
        <v>11</v>
      </c>
      <c r="B16">
        <f t="shared" si="0"/>
        <v>126.18681599723016</v>
      </c>
      <c r="C16">
        <f t="shared" si="1"/>
        <v>-412.68655025642192</v>
      </c>
    </row>
    <row r="17" spans="1:3" x14ac:dyDescent="0.15">
      <c r="A17">
        <f t="shared" si="2"/>
        <v>12</v>
      </c>
      <c r="B17">
        <f t="shared" si="0"/>
        <v>137.65834472425107</v>
      </c>
      <c r="C17">
        <f t="shared" si="1"/>
        <v>-509.00350937064195</v>
      </c>
    </row>
    <row r="18" spans="1:3" x14ac:dyDescent="0.15">
      <c r="A18">
        <f t="shared" si="2"/>
        <v>13</v>
      </c>
      <c r="B18">
        <f t="shared" si="0"/>
        <v>149.129873451272</v>
      </c>
      <c r="C18">
        <f t="shared" si="1"/>
        <v>-615.12046848486216</v>
      </c>
    </row>
    <row r="19" spans="1:3" x14ac:dyDescent="0.15">
      <c r="A19">
        <f t="shared" si="2"/>
        <v>14</v>
      </c>
      <c r="B19">
        <f t="shared" si="0"/>
        <v>160.60140217829291</v>
      </c>
      <c r="C19">
        <f t="shared" si="1"/>
        <v>-731.03742759908232</v>
      </c>
    </row>
    <row r="20" spans="1:3" x14ac:dyDescent="0.15">
      <c r="A20">
        <f t="shared" si="2"/>
        <v>15</v>
      </c>
      <c r="B20">
        <f t="shared" si="0"/>
        <v>172.07293090531385</v>
      </c>
      <c r="C20">
        <f t="shared" si="1"/>
        <v>-856.75438671330244</v>
      </c>
    </row>
    <row r="21" spans="1:3" x14ac:dyDescent="0.15">
      <c r="A21">
        <f t="shared" si="2"/>
        <v>16</v>
      </c>
      <c r="B21">
        <f t="shared" si="0"/>
        <v>183.54445963233476</v>
      </c>
      <c r="C21">
        <f t="shared" si="1"/>
        <v>-992.27134582752274</v>
      </c>
    </row>
    <row r="22" spans="1:3" x14ac:dyDescent="0.15">
      <c r="A22">
        <f t="shared" si="2"/>
        <v>17</v>
      </c>
      <c r="B22">
        <f t="shared" si="0"/>
        <v>195.0159883593557</v>
      </c>
      <c r="C22">
        <f t="shared" si="1"/>
        <v>-1137.588304941743</v>
      </c>
    </row>
    <row r="23" spans="1:3" x14ac:dyDescent="0.15">
      <c r="A23">
        <f t="shared" si="2"/>
        <v>18</v>
      </c>
      <c r="B23">
        <f t="shared" si="0"/>
        <v>206.48751708637661</v>
      </c>
      <c r="C23">
        <f t="shared" si="1"/>
        <v>-1292.7052640559632</v>
      </c>
    </row>
    <row r="24" spans="1:3" x14ac:dyDescent="0.15">
      <c r="A24">
        <f t="shared" si="2"/>
        <v>19</v>
      </c>
      <c r="B24">
        <f t="shared" si="0"/>
        <v>217.95904581339755</v>
      </c>
      <c r="C24">
        <f t="shared" si="1"/>
        <v>-1457.6222231701831</v>
      </c>
    </row>
    <row r="25" spans="1:3" x14ac:dyDescent="0.15">
      <c r="A25">
        <f t="shared" si="2"/>
        <v>20</v>
      </c>
      <c r="B25">
        <f t="shared" si="0"/>
        <v>229.43057454041846</v>
      </c>
      <c r="C25">
        <f t="shared" si="1"/>
        <v>-1632.3391822844035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1"/>
  <sheetViews>
    <sheetView workbookViewId="0">
      <selection activeCell="K27" sqref="K27"/>
    </sheetView>
  </sheetViews>
  <sheetFormatPr defaultRowHeight="13.5" x14ac:dyDescent="0.15"/>
  <sheetData>
    <row r="1" spans="1:13" x14ac:dyDescent="0.15">
      <c r="A1" t="s">
        <v>13</v>
      </c>
      <c r="B1">
        <v>2</v>
      </c>
      <c r="C1" t="s">
        <v>17</v>
      </c>
      <c r="D1">
        <v>0.9</v>
      </c>
      <c r="F1" t="s">
        <v>30</v>
      </c>
      <c r="G1">
        <v>1</v>
      </c>
    </row>
    <row r="2" spans="1:13" x14ac:dyDescent="0.15">
      <c r="A2" t="s">
        <v>15</v>
      </c>
      <c r="B2">
        <v>0.4</v>
      </c>
      <c r="C2" t="s">
        <v>25</v>
      </c>
      <c r="D2">
        <v>0.23300000000000001</v>
      </c>
      <c r="F2" t="s">
        <v>28</v>
      </c>
      <c r="G2">
        <v>1.2</v>
      </c>
      <c r="H2">
        <v>1</v>
      </c>
      <c r="I2">
        <v>0.8</v>
      </c>
      <c r="J2">
        <v>0.8</v>
      </c>
    </row>
    <row r="5" spans="1:13" x14ac:dyDescent="0.15">
      <c r="A5" t="s">
        <v>22</v>
      </c>
      <c r="B5" t="s">
        <v>12</v>
      </c>
      <c r="C5" t="s">
        <v>13</v>
      </c>
      <c r="D5" t="s">
        <v>14</v>
      </c>
      <c r="E5" t="s">
        <v>15</v>
      </c>
      <c r="F5" t="s">
        <v>16</v>
      </c>
      <c r="G5" t="s">
        <v>17</v>
      </c>
      <c r="H5" t="s">
        <v>18</v>
      </c>
      <c r="I5" t="s">
        <v>19</v>
      </c>
      <c r="J5" t="s">
        <v>29</v>
      </c>
      <c r="K5" t="s">
        <v>27</v>
      </c>
      <c r="L5" t="s">
        <v>26</v>
      </c>
    </row>
    <row r="6" spans="1:13" x14ac:dyDescent="0.15">
      <c r="A6">
        <v>0</v>
      </c>
      <c r="B6">
        <v>0</v>
      </c>
      <c r="C6">
        <f>B1</f>
        <v>2</v>
      </c>
      <c r="D6">
        <f>D1</f>
        <v>0.9</v>
      </c>
      <c r="E6">
        <f>B2</f>
        <v>0.4</v>
      </c>
      <c r="F6">
        <f>E6-C6</f>
        <v>-1.6</v>
      </c>
      <c r="G6">
        <f>D6-B6</f>
        <v>0.9</v>
      </c>
      <c r="H6">
        <f>M6</f>
        <v>-1.2651162790697676</v>
      </c>
      <c r="I6">
        <f>C6+H6</f>
        <v>0.73488372093023235</v>
      </c>
      <c r="J6">
        <f>G6-$G$1</f>
        <v>-9.9999999999999978E-2</v>
      </c>
      <c r="K6">
        <f>$D$2/G6*F6</f>
        <v>-0.41422222222222227</v>
      </c>
      <c r="L6">
        <f>(G6-$G$1)/F6</f>
        <v>6.2499999999999986E-2</v>
      </c>
      <c r="M6">
        <f>$I$2/($G$2*L6+$H$2)*J6+$J$2/($G$2*L6+$H$2)*F6</f>
        <v>-1.2651162790697676</v>
      </c>
    </row>
    <row r="7" spans="1:13" x14ac:dyDescent="0.15">
      <c r="A7">
        <v>1</v>
      </c>
      <c r="B7">
        <f>B6+I6</f>
        <v>0.73488372093023235</v>
      </c>
      <c r="C7">
        <f>I6</f>
        <v>0.73488372093023235</v>
      </c>
      <c r="D7">
        <f>D6+E6</f>
        <v>1.3</v>
      </c>
      <c r="E7">
        <f>E6</f>
        <v>0.4</v>
      </c>
      <c r="F7">
        <f>E7-C7</f>
        <v>-0.33488372093023233</v>
      </c>
      <c r="G7">
        <f>D7-B7</f>
        <v>0.56511627906976769</v>
      </c>
      <c r="H7">
        <f t="shared" ref="H7:H21" si="0">M7</f>
        <v>-0.24070903719415179</v>
      </c>
      <c r="I7">
        <f>C7+H7</f>
        <v>0.49417468373608053</v>
      </c>
      <c r="J7">
        <f t="shared" ref="J7:J21" si="1">G7-$G$1</f>
        <v>-0.43488372093023231</v>
      </c>
      <c r="K7">
        <f t="shared" ref="K7:K21" si="2">$D$2/G7*F7</f>
        <v>-0.13807407407407393</v>
      </c>
      <c r="L7">
        <f t="shared" ref="L7:L21" si="3">(G7-$G$1)/F7</f>
        <v>1.2986111111111112</v>
      </c>
      <c r="M7">
        <f t="shared" ref="M7:M21" si="4">$I$2/($G$2*L7+$H$2)*J7+$J$2/($G$2*L7+$H$2)*F7</f>
        <v>-0.24070903719415179</v>
      </c>
    </row>
    <row r="8" spans="1:13" x14ac:dyDescent="0.15">
      <c r="A8">
        <v>2</v>
      </c>
      <c r="B8">
        <f t="shared" ref="B8:B12" si="5">B7+I7</f>
        <v>1.2290584046663129</v>
      </c>
      <c r="C8">
        <f t="shared" ref="C8:C12" si="6">I7</f>
        <v>0.49417468373608053</v>
      </c>
      <c r="D8">
        <f t="shared" ref="D8:D12" si="7">D7+E7</f>
        <v>1.7000000000000002</v>
      </c>
      <c r="E8">
        <f t="shared" ref="E8:E12" si="8">E7</f>
        <v>0.4</v>
      </c>
      <c r="F8">
        <f t="shared" ref="F8:F12" si="9">E8-C8</f>
        <v>-9.4174683736080511E-2</v>
      </c>
      <c r="G8">
        <f t="shared" ref="G8:G12" si="10">D8-B8</f>
        <v>0.47094159533368729</v>
      </c>
      <c r="H8">
        <f t="shared" si="0"/>
        <v>-6.4405130069189104E-2</v>
      </c>
      <c r="I8">
        <f t="shared" ref="I8:I12" si="11">C8+H8</f>
        <v>0.4297695536668914</v>
      </c>
      <c r="J8">
        <f t="shared" si="1"/>
        <v>-0.52905840466631271</v>
      </c>
      <c r="K8">
        <f t="shared" si="2"/>
        <v>-4.6593253872508719E-2</v>
      </c>
      <c r="L8">
        <f t="shared" si="3"/>
        <v>5.6178410553410556</v>
      </c>
      <c r="M8">
        <f t="shared" si="4"/>
        <v>-6.4405130069189104E-2</v>
      </c>
    </row>
    <row r="9" spans="1:13" x14ac:dyDescent="0.15">
      <c r="A9">
        <v>3</v>
      </c>
      <c r="B9">
        <f t="shared" si="5"/>
        <v>1.6588279583332044</v>
      </c>
      <c r="C9">
        <f t="shared" si="6"/>
        <v>0.4297695536668914</v>
      </c>
      <c r="D9">
        <f t="shared" si="7"/>
        <v>2.1</v>
      </c>
      <c r="E9">
        <f t="shared" si="8"/>
        <v>0.4</v>
      </c>
      <c r="F9">
        <f t="shared" si="9"/>
        <v>-2.976955366689138E-2</v>
      </c>
      <c r="G9">
        <f t="shared" si="10"/>
        <v>0.44117204166679569</v>
      </c>
      <c r="H9">
        <f t="shared" si="0"/>
        <v>-2.0015086608586925E-2</v>
      </c>
      <c r="I9">
        <f t="shared" si="11"/>
        <v>0.40975446705830448</v>
      </c>
      <c r="J9">
        <f t="shared" si="1"/>
        <v>-0.55882795833320431</v>
      </c>
      <c r="K9">
        <f t="shared" si="2"/>
        <v>-1.5722451445879429E-2</v>
      </c>
      <c r="L9">
        <f t="shared" si="3"/>
        <v>18.771794988472148</v>
      </c>
      <c r="M9">
        <f t="shared" si="4"/>
        <v>-2.0015086608586925E-2</v>
      </c>
    </row>
    <row r="10" spans="1:13" x14ac:dyDescent="0.15">
      <c r="A10">
        <v>4</v>
      </c>
      <c r="B10">
        <f t="shared" si="5"/>
        <v>2.0685824253915088</v>
      </c>
      <c r="C10">
        <f t="shared" si="6"/>
        <v>0.40975446705830448</v>
      </c>
      <c r="D10">
        <f t="shared" si="7"/>
        <v>2.5</v>
      </c>
      <c r="E10">
        <f t="shared" si="8"/>
        <v>0.4</v>
      </c>
      <c r="F10">
        <f t="shared" si="9"/>
        <v>-9.7544670583044613E-3</v>
      </c>
      <c r="G10">
        <f t="shared" si="10"/>
        <v>0.43141757460849117</v>
      </c>
      <c r="H10">
        <f t="shared" si="0"/>
        <v>-6.5213098864180478E-3</v>
      </c>
      <c r="I10">
        <f t="shared" si="11"/>
        <v>0.40323315717188646</v>
      </c>
      <c r="J10">
        <f t="shared" si="1"/>
        <v>-0.56858242539150883</v>
      </c>
      <c r="K10">
        <f t="shared" si="2"/>
        <v>-5.268192485314219E-3</v>
      </c>
      <c r="L10">
        <f t="shared" si="3"/>
        <v>58.289440314163187</v>
      </c>
      <c r="M10">
        <f t="shared" si="4"/>
        <v>-6.5213098864180478E-3</v>
      </c>
    </row>
    <row r="11" spans="1:13" x14ac:dyDescent="0.15">
      <c r="A11">
        <v>5</v>
      </c>
      <c r="B11">
        <f t="shared" si="5"/>
        <v>2.4718155825633952</v>
      </c>
      <c r="C11">
        <f t="shared" si="6"/>
        <v>0.40323315717188646</v>
      </c>
      <c r="D11">
        <f t="shared" si="7"/>
        <v>2.9</v>
      </c>
      <c r="E11">
        <f t="shared" si="8"/>
        <v>0.4</v>
      </c>
      <c r="F11">
        <f t="shared" si="9"/>
        <v>-3.233157171886436E-3</v>
      </c>
      <c r="G11">
        <f t="shared" si="10"/>
        <v>0.42818441743660474</v>
      </c>
      <c r="H11">
        <f t="shared" si="0"/>
        <v>-2.1574598002163472E-3</v>
      </c>
      <c r="I11">
        <f t="shared" si="11"/>
        <v>0.40107569737167009</v>
      </c>
      <c r="J11">
        <f t="shared" si="1"/>
        <v>-0.57181558256339526</v>
      </c>
      <c r="K11">
        <f t="shared" si="2"/>
        <v>-1.7593485198724543E-3</v>
      </c>
      <c r="L11">
        <f t="shared" si="3"/>
        <v>176.85981601375738</v>
      </c>
      <c r="M11">
        <f t="shared" si="4"/>
        <v>-2.1574598002163472E-3</v>
      </c>
    </row>
    <row r="12" spans="1:13" x14ac:dyDescent="0.15">
      <c r="A12">
        <v>6</v>
      </c>
      <c r="B12">
        <f t="shared" si="5"/>
        <v>2.8728912799350654</v>
      </c>
      <c r="C12">
        <f t="shared" si="6"/>
        <v>0.40107569737167009</v>
      </c>
      <c r="D12">
        <f t="shared" si="7"/>
        <v>3.3</v>
      </c>
      <c r="E12">
        <f t="shared" si="8"/>
        <v>0.4</v>
      </c>
      <c r="F12">
        <f t="shared" si="9"/>
        <v>-1.0756973716700702E-3</v>
      </c>
      <c r="G12">
        <f t="shared" si="10"/>
        <v>0.42710872006493439</v>
      </c>
      <c r="H12">
        <f t="shared" si="0"/>
        <v>-7.1735565253807211E-4</v>
      </c>
      <c r="I12">
        <f t="shared" si="11"/>
        <v>0.40035834171913204</v>
      </c>
      <c r="J12">
        <f t="shared" si="1"/>
        <v>-0.57289127993506561</v>
      </c>
      <c r="K12">
        <f t="shared" si="2"/>
        <v>-5.8682362551862983E-4</v>
      </c>
      <c r="L12">
        <f t="shared" si="3"/>
        <v>532.57662891341386</v>
      </c>
      <c r="M12">
        <f t="shared" si="4"/>
        <v>-7.1735565253807211E-4</v>
      </c>
    </row>
    <row r="13" spans="1:13" x14ac:dyDescent="0.15">
      <c r="A13">
        <v>7</v>
      </c>
      <c r="B13">
        <f t="shared" ref="B13:B21" si="12">B12+I12</f>
        <v>3.2732496216541973</v>
      </c>
      <c r="C13">
        <f t="shared" ref="C13:C21" si="13">I12</f>
        <v>0.40035834171913204</v>
      </c>
      <c r="D13">
        <f t="shared" ref="D13:D21" si="14">D12+E12</f>
        <v>3.6999999999999997</v>
      </c>
      <c r="E13">
        <f t="shared" ref="E13:E21" si="15">E12</f>
        <v>0.4</v>
      </c>
      <c r="F13">
        <f t="shared" ref="F13:F21" si="16">E13-C13</f>
        <v>-3.5834171913201596E-4</v>
      </c>
      <c r="G13">
        <f t="shared" ref="G13:G21" si="17">D13-B13</f>
        <v>0.42675037834580243</v>
      </c>
      <c r="H13">
        <f t="shared" si="0"/>
        <v>-2.3891935552083413E-4</v>
      </c>
      <c r="I13">
        <f t="shared" ref="I13:I21" si="18">C13+H13</f>
        <v>0.4001194223636112</v>
      </c>
      <c r="J13">
        <f t="shared" si="1"/>
        <v>-0.57324962165419757</v>
      </c>
      <c r="K13">
        <f t="shared" si="2"/>
        <v>-1.9564978684120474E-4</v>
      </c>
      <c r="L13">
        <f t="shared" si="3"/>
        <v>1599.7289487887058</v>
      </c>
      <c r="M13">
        <f t="shared" si="4"/>
        <v>-2.3891935552083413E-4</v>
      </c>
    </row>
    <row r="14" spans="1:13" x14ac:dyDescent="0.15">
      <c r="A14">
        <v>8</v>
      </c>
      <c r="B14">
        <f t="shared" si="12"/>
        <v>3.6733690440178086</v>
      </c>
      <c r="C14">
        <f t="shared" si="13"/>
        <v>0.4001194223636112</v>
      </c>
      <c r="D14">
        <f t="shared" si="14"/>
        <v>4.0999999999999996</v>
      </c>
      <c r="E14">
        <f t="shared" si="15"/>
        <v>0.4</v>
      </c>
      <c r="F14">
        <f t="shared" si="16"/>
        <v>-1.1942236361117686E-4</v>
      </c>
      <c r="G14">
        <f t="shared" si="17"/>
        <v>0.42663095598219103</v>
      </c>
      <c r="H14">
        <f t="shared" si="0"/>
        <v>-7.961767231789433E-5</v>
      </c>
      <c r="I14">
        <f t="shared" si="18"/>
        <v>0.4000398046912933</v>
      </c>
      <c r="J14">
        <f t="shared" si="1"/>
        <v>-0.57336904401780897</v>
      </c>
      <c r="K14">
        <f t="shared" si="2"/>
        <v>-6.5221265197093985E-5</v>
      </c>
      <c r="L14">
        <f t="shared" si="3"/>
        <v>4801.18653391103</v>
      </c>
      <c r="M14">
        <f t="shared" si="4"/>
        <v>-7.961767231789433E-5</v>
      </c>
    </row>
    <row r="15" spans="1:13" x14ac:dyDescent="0.15">
      <c r="A15">
        <v>9</v>
      </c>
      <c r="B15">
        <f t="shared" si="12"/>
        <v>4.0734088487091018</v>
      </c>
      <c r="C15">
        <f t="shared" si="13"/>
        <v>0.4000398046912933</v>
      </c>
      <c r="D15">
        <f t="shared" si="14"/>
        <v>4.5</v>
      </c>
      <c r="E15">
        <f t="shared" si="15"/>
        <v>0.4</v>
      </c>
      <c r="F15">
        <f t="shared" si="16"/>
        <v>-3.9804691293277017E-5</v>
      </c>
      <c r="G15">
        <f t="shared" si="17"/>
        <v>0.4265911512908982</v>
      </c>
      <c r="H15">
        <f t="shared" si="0"/>
        <v>-2.6536767860857351E-5</v>
      </c>
      <c r="I15">
        <f t="shared" si="18"/>
        <v>0.40001326792343245</v>
      </c>
      <c r="J15">
        <f t="shared" si="1"/>
        <v>-0.5734088487091018</v>
      </c>
      <c r="K15">
        <f t="shared" si="2"/>
        <v>-2.1740941046874047E-5</v>
      </c>
      <c r="L15">
        <f t="shared" si="3"/>
        <v>14405.559497605</v>
      </c>
      <c r="M15">
        <f t="shared" si="4"/>
        <v>-2.6536767860857351E-5</v>
      </c>
    </row>
    <row r="16" spans="1:13" x14ac:dyDescent="0.15">
      <c r="A16">
        <v>10</v>
      </c>
      <c r="B16">
        <f t="shared" si="12"/>
        <v>4.4734221166325341</v>
      </c>
      <c r="C16">
        <f t="shared" si="13"/>
        <v>0.40001326792343245</v>
      </c>
      <c r="D16">
        <f t="shared" si="14"/>
        <v>4.9000000000000004</v>
      </c>
      <c r="E16">
        <f t="shared" si="15"/>
        <v>0.4</v>
      </c>
      <c r="F16">
        <f t="shared" si="16"/>
        <v>-1.3267923432425111E-5</v>
      </c>
      <c r="G16">
        <f t="shared" si="17"/>
        <v>0.42657788336746627</v>
      </c>
      <c r="H16">
        <f t="shared" si="0"/>
        <v>-8.8453163981947323E-6</v>
      </c>
      <c r="I16">
        <f t="shared" si="18"/>
        <v>0.40000442260703423</v>
      </c>
      <c r="J16">
        <f t="shared" si="1"/>
        <v>-0.57342211663253373</v>
      </c>
      <c r="K16">
        <f t="shared" si="2"/>
        <v>-7.2470380680566342E-6</v>
      </c>
      <c r="L16">
        <f t="shared" si="3"/>
        <v>43218.678458089627</v>
      </c>
      <c r="M16">
        <f t="shared" si="4"/>
        <v>-8.8453163981947323E-6</v>
      </c>
    </row>
    <row r="17" spans="1:13" x14ac:dyDescent="0.15">
      <c r="A17">
        <v>11</v>
      </c>
      <c r="B17">
        <f t="shared" si="12"/>
        <v>4.8734265392395679</v>
      </c>
      <c r="C17">
        <f t="shared" si="13"/>
        <v>0.40000442260703423</v>
      </c>
      <c r="D17">
        <f t="shared" si="14"/>
        <v>5.3000000000000007</v>
      </c>
      <c r="E17">
        <f t="shared" si="15"/>
        <v>0.4</v>
      </c>
      <c r="F17">
        <f t="shared" si="16"/>
        <v>-4.4226070342046064E-6</v>
      </c>
      <c r="G17">
        <f t="shared" si="17"/>
        <v>0.42657346076043279</v>
      </c>
      <c r="H17">
        <f t="shared" si="0"/>
        <v>-2.9484084794209114E-6</v>
      </c>
      <c r="I17">
        <f t="shared" si="18"/>
        <v>0.40000147419855481</v>
      </c>
      <c r="J17">
        <f t="shared" si="1"/>
        <v>-0.57342653923956721</v>
      </c>
      <c r="K17">
        <f t="shared" si="2"/>
        <v>-2.4156857698852307E-6</v>
      </c>
      <c r="L17">
        <f t="shared" si="3"/>
        <v>129658.03536345535</v>
      </c>
      <c r="M17">
        <f t="shared" si="4"/>
        <v>-2.9484084794209114E-6</v>
      </c>
    </row>
    <row r="18" spans="1:13" x14ac:dyDescent="0.15">
      <c r="A18">
        <v>12</v>
      </c>
      <c r="B18">
        <f t="shared" si="12"/>
        <v>5.2734280134381226</v>
      </c>
      <c r="C18">
        <f t="shared" si="13"/>
        <v>0.40000147419855481</v>
      </c>
      <c r="D18">
        <f t="shared" si="14"/>
        <v>5.7000000000000011</v>
      </c>
      <c r="E18">
        <f t="shared" si="15"/>
        <v>0.4</v>
      </c>
      <c r="F18">
        <f t="shared" si="16"/>
        <v>-1.4741985547850334E-6</v>
      </c>
      <c r="G18">
        <f t="shared" si="17"/>
        <v>0.42657198656187845</v>
      </c>
      <c r="H18">
        <f t="shared" si="0"/>
        <v>-9.8279945762759803E-7</v>
      </c>
      <c r="I18">
        <f t="shared" si="18"/>
        <v>0.40000049139909716</v>
      </c>
      <c r="J18">
        <f t="shared" si="1"/>
        <v>-0.57342801343812155</v>
      </c>
      <c r="K18">
        <f t="shared" si="2"/>
        <v>-8.0522930263984046E-7</v>
      </c>
      <c r="L18">
        <f t="shared" si="3"/>
        <v>388976.10608615639</v>
      </c>
      <c r="M18">
        <f t="shared" si="4"/>
        <v>-9.8279945762759803E-7</v>
      </c>
    </row>
    <row r="19" spans="1:13" x14ac:dyDescent="0.15">
      <c r="A19">
        <v>13</v>
      </c>
      <c r="B19">
        <f t="shared" si="12"/>
        <v>5.6734285048372195</v>
      </c>
      <c r="C19">
        <f t="shared" si="13"/>
        <v>0.40000049139909716</v>
      </c>
      <c r="D19">
        <f t="shared" si="14"/>
        <v>6.1000000000000014</v>
      </c>
      <c r="E19">
        <f t="shared" si="15"/>
        <v>0.4</v>
      </c>
      <c r="F19">
        <f t="shared" si="16"/>
        <v>-4.9139909713558083E-7</v>
      </c>
      <c r="G19">
        <f t="shared" si="17"/>
        <v>0.42657149516278192</v>
      </c>
      <c r="H19">
        <f t="shared" si="0"/>
        <v>-3.2759944487969405E-7</v>
      </c>
      <c r="I19">
        <f t="shared" si="18"/>
        <v>0.40000016379965225</v>
      </c>
      <c r="J19">
        <f t="shared" si="1"/>
        <v>-0.57342850483721808</v>
      </c>
      <c r="K19">
        <f t="shared" si="2"/>
        <v>-2.6840984672193833E-7</v>
      </c>
      <c r="L19">
        <f t="shared" si="3"/>
        <v>1166930.3183090806</v>
      </c>
      <c r="M19">
        <f t="shared" si="4"/>
        <v>-3.2759944487969405E-7</v>
      </c>
    </row>
    <row r="20" spans="1:13" x14ac:dyDescent="0.15">
      <c r="A20">
        <v>14</v>
      </c>
      <c r="B20">
        <f t="shared" si="12"/>
        <v>6.0734286686368719</v>
      </c>
      <c r="C20">
        <f t="shared" si="13"/>
        <v>0.40000016379965225</v>
      </c>
      <c r="D20">
        <f t="shared" si="14"/>
        <v>6.5000000000000018</v>
      </c>
      <c r="E20">
        <f t="shared" si="15"/>
        <v>0.4</v>
      </c>
      <c r="F20">
        <f t="shared" si="16"/>
        <v>-1.6379965223078941E-7</v>
      </c>
      <c r="G20">
        <f t="shared" si="17"/>
        <v>0.42657133136312986</v>
      </c>
      <c r="H20">
        <f t="shared" si="0"/>
        <v>-1.091997733526695E-7</v>
      </c>
      <c r="I20">
        <f t="shared" si="18"/>
        <v>0.40000005459987892</v>
      </c>
      <c r="J20">
        <f t="shared" si="1"/>
        <v>-0.57342866863687014</v>
      </c>
      <c r="K20">
        <f t="shared" si="2"/>
        <v>-8.9469957692221751E-8</v>
      </c>
      <c r="L20">
        <f t="shared" si="3"/>
        <v>3500792.9554632036</v>
      </c>
      <c r="M20">
        <f t="shared" si="4"/>
        <v>-1.091997733526695E-7</v>
      </c>
    </row>
    <row r="21" spans="1:13" x14ac:dyDescent="0.15">
      <c r="A21">
        <v>15</v>
      </c>
      <c r="B21">
        <f t="shared" si="12"/>
        <v>6.4734287232367507</v>
      </c>
      <c r="C21">
        <f t="shared" si="13"/>
        <v>0.40000005459987892</v>
      </c>
      <c r="D21">
        <f t="shared" si="14"/>
        <v>6.9000000000000021</v>
      </c>
      <c r="E21">
        <f t="shared" si="15"/>
        <v>0.4</v>
      </c>
      <c r="F21">
        <f t="shared" si="16"/>
        <v>-5.459987889588902E-8</v>
      </c>
      <c r="G21">
        <f t="shared" si="17"/>
        <v>0.42657127676325146</v>
      </c>
      <c r="H21">
        <f t="shared" si="0"/>
        <v>-3.6399919841571483E-8</v>
      </c>
      <c r="I21">
        <f t="shared" si="18"/>
        <v>0.40000001819995906</v>
      </c>
      <c r="J21">
        <f t="shared" si="1"/>
        <v>-0.57342872323674854</v>
      </c>
      <c r="K21">
        <f t="shared" si="2"/>
        <v>-2.9823320218071721E-8</v>
      </c>
      <c r="L21">
        <f t="shared" si="3"/>
        <v>10502380.862971541</v>
      </c>
      <c r="M21">
        <f t="shared" si="4"/>
        <v>-3.6399919841571483E-8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J47"/>
  <sheetViews>
    <sheetView workbookViewId="0">
      <selection activeCell="C1" sqref="C1"/>
    </sheetView>
  </sheetViews>
  <sheetFormatPr defaultRowHeight="13.5" x14ac:dyDescent="0.15"/>
  <sheetData>
    <row r="1" spans="1:62" x14ac:dyDescent="0.15">
      <c r="A1" t="s">
        <v>41</v>
      </c>
      <c r="B1">
        <v>1</v>
      </c>
    </row>
    <row r="2" spans="1:62" x14ac:dyDescent="0.15">
      <c r="A2" t="s">
        <v>42</v>
      </c>
      <c r="B2">
        <v>1.2</v>
      </c>
      <c r="C2">
        <v>1</v>
      </c>
      <c r="D2">
        <v>0.8</v>
      </c>
      <c r="E2">
        <v>0.8</v>
      </c>
      <c r="G2">
        <v>0</v>
      </c>
    </row>
    <row r="3" spans="1:62" x14ac:dyDescent="0.15">
      <c r="A3">
        <v>-0.22785226756211124</v>
      </c>
      <c r="B3">
        <v>1.4827129859585546</v>
      </c>
      <c r="C3">
        <v>-1.6656408346487324</v>
      </c>
      <c r="D3">
        <v>0.91624919331100119</v>
      </c>
      <c r="E3">
        <v>1.4377885670866211</v>
      </c>
      <c r="F3">
        <v>0.56646379264755342</v>
      </c>
      <c r="G3">
        <v>0.43778856708662106</v>
      </c>
      <c r="H3">
        <v>0.77284474801200143</v>
      </c>
      <c r="I3">
        <v>0.41682898112726197</v>
      </c>
      <c r="J3">
        <v>1.8995419670858165</v>
      </c>
      <c r="K3">
        <v>0.41682898112726197</v>
      </c>
      <c r="L3">
        <v>1.8995419670858165</v>
      </c>
      <c r="M3">
        <v>-2.9481681893567497</v>
      </c>
      <c r="N3">
        <v>1.6965937130647482</v>
      </c>
      <c r="O3">
        <v>1.2825273547080174</v>
      </c>
      <c r="P3">
        <v>0.20294825402106831</v>
      </c>
      <c r="Q3">
        <v>0.28252735470801738</v>
      </c>
      <c r="R3">
        <v>1.3921152269616859</v>
      </c>
      <c r="S3">
        <v>0.14543153753079127</v>
      </c>
      <c r="T3">
        <v>1.8420252505955395</v>
      </c>
      <c r="U3">
        <v>0.14543153753079127</v>
      </c>
      <c r="V3">
        <v>1.8420252505955395</v>
      </c>
      <c r="W3">
        <v>-4.7891453729282158</v>
      </c>
      <c r="X3">
        <v>1.0978142383467957</v>
      </c>
      <c r="Y3">
        <v>1.8409771835714661</v>
      </c>
      <c r="Z3">
        <v>0.74421101224874375</v>
      </c>
      <c r="AA3">
        <v>0.84097718357146611</v>
      </c>
      <c r="AB3">
        <v>1.130025180667952</v>
      </c>
      <c r="AC3">
        <v>0.53825733966084743</v>
      </c>
      <c r="AD3">
        <v>1.6360715780076431</v>
      </c>
      <c r="AE3">
        <v>0.53825733966084743</v>
      </c>
      <c r="AF3">
        <v>1.6360715780076431</v>
      </c>
      <c r="AG3">
        <v>-6.0881918066805856</v>
      </c>
      <c r="AH3">
        <v>1.3026523029109507</v>
      </c>
      <c r="AI3">
        <v>1.2990464337523697</v>
      </c>
      <c r="AJ3">
        <v>0.33341927509669245</v>
      </c>
      <c r="AK3">
        <v>0.29904643375236972</v>
      </c>
      <c r="AL3">
        <v>0.89690805567748144</v>
      </c>
      <c r="AM3">
        <v>0.24369074082803557</v>
      </c>
      <c r="AN3">
        <v>1.5463430437389862</v>
      </c>
      <c r="AO3">
        <v>0.24369074082803557</v>
      </c>
      <c r="AP3">
        <v>1.5463430437389862</v>
      </c>
      <c r="AQ3">
        <v>-7.3189004944662495</v>
      </c>
      <c r="AR3">
        <v>1.1047063237890171</v>
      </c>
      <c r="AS3">
        <v>1.2307086877856639</v>
      </c>
      <c r="AT3">
        <v>0.44163671994996911</v>
      </c>
      <c r="AU3">
        <v>0.23070868778566389</v>
      </c>
      <c r="AV3">
        <v>0.52239471349166744</v>
      </c>
      <c r="AW3">
        <v>0.33061960536515594</v>
      </c>
      <c r="AX3">
        <v>1.4353259291541731</v>
      </c>
      <c r="AY3">
        <v>0.33061960536515594</v>
      </c>
      <c r="AZ3">
        <v>1.4353259291541731</v>
      </c>
      <c r="BA3">
        <v>-8.9575706587622861</v>
      </c>
      <c r="BB3">
        <v>0.67620874584057189</v>
      </c>
      <c r="BC3">
        <v>1.6386701642960366</v>
      </c>
      <c r="BD3">
        <v>0.75911718331360123</v>
      </c>
      <c r="BE3">
        <v>0.63867016429603662</v>
      </c>
      <c r="BF3">
        <v>0.84133277224498504</v>
      </c>
      <c r="BG3">
        <v>0.55644419424011504</v>
      </c>
      <c r="BH3">
        <v>1.2326529400806869</v>
      </c>
      <c r="BI3">
        <v>0.55644419424011504</v>
      </c>
      <c r="BJ3">
        <v>1.2326529400806869</v>
      </c>
    </row>
    <row r="4" spans="1:62" x14ac:dyDescent="0.15">
      <c r="A4" t="s">
        <v>31</v>
      </c>
      <c r="B4" t="str">
        <f>RIGHT(A4,1)</f>
        <v>1</v>
      </c>
      <c r="C4" t="s">
        <v>34</v>
      </c>
      <c r="D4" t="str">
        <f>RIGHT(C4,1)</f>
        <v>2</v>
      </c>
      <c r="M4" t="s">
        <v>35</v>
      </c>
      <c r="N4" t="str">
        <f>RIGHT(M4,1)</f>
        <v>3</v>
      </c>
      <c r="W4" t="s">
        <v>36</v>
      </c>
      <c r="X4" t="str">
        <f>RIGHT(W4,1)</f>
        <v>4</v>
      </c>
      <c r="AG4" t="s">
        <v>37</v>
      </c>
      <c r="AH4" t="str">
        <f>RIGHT(AG4,1)</f>
        <v>5</v>
      </c>
      <c r="AQ4" t="s">
        <v>38</v>
      </c>
      <c r="AR4" t="str">
        <f>RIGHT(AQ4,1)</f>
        <v>6</v>
      </c>
      <c r="BA4" t="s">
        <v>39</v>
      </c>
      <c r="BB4" t="str">
        <f>RIGHT(BA4,1)</f>
        <v>7</v>
      </c>
    </row>
    <row r="5" spans="1:62" x14ac:dyDescent="0.15">
      <c r="A5" t="s">
        <v>7</v>
      </c>
      <c r="B5" t="s">
        <v>32</v>
      </c>
      <c r="C5" t="s">
        <v>7</v>
      </c>
      <c r="D5" t="s">
        <v>32</v>
      </c>
      <c r="E5" t="s">
        <v>17</v>
      </c>
      <c r="F5" t="s">
        <v>16</v>
      </c>
      <c r="G5" t="s">
        <v>43</v>
      </c>
      <c r="H5" t="s">
        <v>44</v>
      </c>
      <c r="I5" t="s">
        <v>33</v>
      </c>
      <c r="J5" t="s">
        <v>40</v>
      </c>
      <c r="K5" t="s">
        <v>48</v>
      </c>
      <c r="L5" t="s">
        <v>49</v>
      </c>
      <c r="M5" t="s">
        <v>7</v>
      </c>
      <c r="N5" t="s">
        <v>32</v>
      </c>
      <c r="O5" t="s">
        <v>17</v>
      </c>
      <c r="P5" t="s">
        <v>16</v>
      </c>
      <c r="Q5" t="s">
        <v>43</v>
      </c>
      <c r="R5" t="s">
        <v>44</v>
      </c>
      <c r="S5" t="s">
        <v>33</v>
      </c>
      <c r="T5" t="s">
        <v>40</v>
      </c>
      <c r="W5" t="s">
        <v>7</v>
      </c>
      <c r="X5" t="s">
        <v>32</v>
      </c>
      <c r="Y5" t="s">
        <v>17</v>
      </c>
      <c r="Z5" t="s">
        <v>16</v>
      </c>
      <c r="AA5" t="s">
        <v>43</v>
      </c>
      <c r="AB5" t="s">
        <v>44</v>
      </c>
      <c r="AC5" t="s">
        <v>33</v>
      </c>
      <c r="AD5" t="s">
        <v>40</v>
      </c>
      <c r="AG5" t="s">
        <v>7</v>
      </c>
      <c r="AH5" t="s">
        <v>32</v>
      </c>
      <c r="AI5" t="s">
        <v>17</v>
      </c>
      <c r="AJ5" t="s">
        <v>16</v>
      </c>
      <c r="AK5" t="s">
        <v>43</v>
      </c>
      <c r="AL5" t="s">
        <v>44</v>
      </c>
      <c r="AM5" t="s">
        <v>33</v>
      </c>
      <c r="AN5" t="s">
        <v>40</v>
      </c>
      <c r="AQ5" t="s">
        <v>7</v>
      </c>
      <c r="AR5" t="s">
        <v>32</v>
      </c>
      <c r="AS5" t="s">
        <v>17</v>
      </c>
      <c r="AT5" t="s">
        <v>16</v>
      </c>
      <c r="AU5" t="s">
        <v>43</v>
      </c>
      <c r="AV5" t="s">
        <v>44</v>
      </c>
      <c r="AW5" t="s">
        <v>33</v>
      </c>
      <c r="AX5" t="s">
        <v>40</v>
      </c>
      <c r="BA5" t="s">
        <v>7</v>
      </c>
      <c r="BB5" t="s">
        <v>32</v>
      </c>
      <c r="BC5" t="s">
        <v>17</v>
      </c>
      <c r="BD5" t="s">
        <v>16</v>
      </c>
      <c r="BE5" t="s">
        <v>43</v>
      </c>
      <c r="BF5" t="s">
        <v>44</v>
      </c>
      <c r="BG5" t="s">
        <v>33</v>
      </c>
      <c r="BH5" t="s">
        <v>40</v>
      </c>
    </row>
    <row r="6" spans="1:62" x14ac:dyDescent="0.15">
      <c r="A6">
        <f ca="1">-(B4-1)*1.5+(RAND()*0.6-0.3)</f>
        <v>0.14115916418638647</v>
      </c>
      <c r="B6">
        <f ca="1">RAND()*1.6+0.4</f>
        <v>0.59480994033199053</v>
      </c>
      <c r="C6">
        <f ca="1">-(D4-1)*1.5+(RAND()*0.6-0.3)</f>
        <v>-1.6455942276469757</v>
      </c>
      <c r="D6">
        <f ca="1">RAND()*1.6+0.4</f>
        <v>0.55946611517202527</v>
      </c>
      <c r="E6">
        <f ca="1">A6-C6</f>
        <v>1.7867533918333622</v>
      </c>
      <c r="F6">
        <f ca="1">B6-D6</f>
        <v>3.5343825159965259E-2</v>
      </c>
      <c r="G6">
        <f ca="1">E6-$B$1</f>
        <v>0.78675339183336224</v>
      </c>
      <c r="H6">
        <f ca="1">G6/F6</f>
        <v>22.259995579780522</v>
      </c>
      <c r="I6">
        <f ca="1">$D$2/($B$2*H6+$C$2)*G6+$E$2/($B$2*H6+$C$2)*F6</f>
        <v>2.3732603185574477E-2</v>
      </c>
      <c r="J6">
        <f ca="1">B6+I6</f>
        <v>0.61854254351756499</v>
      </c>
      <c r="K6">
        <f ca="1">IF(A6+B6-(C6+J6)&gt;0,I6,0.1)</f>
        <v>2.3732603185574477E-2</v>
      </c>
      <c r="L6">
        <f ca="1">IF(AND((A6+B6-(C6+J6)&gt;0),J6&gt;0),J6,0.1)</f>
        <v>0.61854254351756499</v>
      </c>
      <c r="M6">
        <f ca="1">-(N4-1)*1.5+(RAND()*0.6-0.3)</f>
        <v>-3.0433295636046696</v>
      </c>
      <c r="N6">
        <f ca="1">RAND()*1.6+0.4</f>
        <v>1.7515438230558149</v>
      </c>
      <c r="O6">
        <f t="shared" ref="O6:O25" ca="1" si="0">C6-M6</f>
        <v>1.3977353359576938</v>
      </c>
      <c r="P6">
        <f t="shared" ref="P6:P25" ca="1" si="1">J6-N6</f>
        <v>-1.13300127953825</v>
      </c>
      <c r="Q6">
        <f ca="1">O6-$B$1</f>
        <v>0.39773533595769384</v>
      </c>
      <c r="R6">
        <f ca="1">Q6/P6</f>
        <v>-0.35104579592336316</v>
      </c>
      <c r="S6">
        <f ca="1">$D$2/($B$2*R6+$C$2)*Q6+$E$2/($B$2*R6+$C$2)*P6</f>
        <v>-1.0163590341827429</v>
      </c>
      <c r="T6">
        <f ca="1">N6+S6</f>
        <v>0.73518478887307204</v>
      </c>
      <c r="U6">
        <f ca="1">IF(K6+L6-(M6+T6)&gt;0,S6,0.1)</f>
        <v>-1.0163590341827429</v>
      </c>
      <c r="V6">
        <f ca="1">IF(AND((C6+L6-(M6+T6)&gt;0),T6&gt;0),T6,0.1)</f>
        <v>0.73518478887307204</v>
      </c>
      <c r="W6">
        <f ca="1">-(X4-1)*1.5+(RAND()*0.6-0.3)</f>
        <v>-4.3001414072930935</v>
      </c>
      <c r="X6">
        <f ca="1">RAND()*1.6+0.4</f>
        <v>0.61345966769143334</v>
      </c>
      <c r="Y6">
        <f t="shared" ref="Y6:Y25" ca="1" si="2">M6-W6</f>
        <v>1.2568118436884239</v>
      </c>
      <c r="Z6">
        <f t="shared" ref="Z6:Z25" ca="1" si="3">T6-X6</f>
        <v>0.1217251211816387</v>
      </c>
      <c r="AA6">
        <f ca="1">Y6-$B$1</f>
        <v>0.25681184368842391</v>
      </c>
      <c r="AB6">
        <f ca="1">AA6/Z6</f>
        <v>2.109768642622325</v>
      </c>
      <c r="AC6">
        <f ca="1">$D$2/($B$2*AB6+$C$2)*AA6+$E$2/($B$2*AB6+$C$2)*Z6</f>
        <v>8.5745576823955713E-2</v>
      </c>
      <c r="AD6">
        <f ca="1">X6+AC6</f>
        <v>0.69920524451538901</v>
      </c>
      <c r="AE6">
        <f ca="1">IF(U6+V6-(W6+AD6)&gt;0,AC6,0.1)</f>
        <v>8.5745576823955713E-2</v>
      </c>
      <c r="AF6">
        <f ca="1">IF(AND((M6+V6-(W6+AD6)&gt;0),AD6&gt;0),AD6,0.1)</f>
        <v>0.69920524451538901</v>
      </c>
      <c r="AG6">
        <f ca="1">-(AH4-1)*1.5+(RAND()*0.6-0.3)</f>
        <v>-6.2354710762215264</v>
      </c>
      <c r="AH6">
        <f ca="1">RAND()*1.6+0.4</f>
        <v>0.665207461212173</v>
      </c>
      <c r="AI6">
        <f t="shared" ref="AI6:AI25" ca="1" si="4">W6-AG6</f>
        <v>1.9353296689284329</v>
      </c>
      <c r="AJ6">
        <f t="shared" ref="AJ6:AJ25" ca="1" si="5">AD6-AH6</f>
        <v>3.3997783303216011E-2</v>
      </c>
      <c r="AK6">
        <f ca="1">AI6-$B$1</f>
        <v>0.93532966892843294</v>
      </c>
      <c r="AL6">
        <f ca="1">AK6/AJ6</f>
        <v>27.511489810571142</v>
      </c>
      <c r="AM6">
        <f ca="1">$D$2/($B$2*AL6+$C$2)*AK6+$E$2/($B$2*AL6+$C$2)*AJ6</f>
        <v>2.2798459464959994E-2</v>
      </c>
      <c r="AN6">
        <f ca="1">AH6+AM6</f>
        <v>0.68800592067713295</v>
      </c>
      <c r="AO6">
        <f ca="1">IF(AE6+AF6-(AG6+AN6)&gt;0,AM6,0.1)</f>
        <v>2.2798459464959994E-2</v>
      </c>
      <c r="AP6">
        <f ca="1">IF(AND((W6+AF6-(AG6+AN6)&gt;0),AN6&gt;0),AN6,0.1)</f>
        <v>0.68800592067713295</v>
      </c>
      <c r="AQ6">
        <f ca="1">-(AR4-1)*1.5+(RAND()*0.6-0.3)</f>
        <v>-7.4918812664576002</v>
      </c>
      <c r="AR6">
        <f ca="1">RAND()*1.6+0.4</f>
        <v>0.81181675133141296</v>
      </c>
      <c r="AS6">
        <f t="shared" ref="AS6:AS25" ca="1" si="6">AG6-AQ6</f>
        <v>1.2564101902360738</v>
      </c>
      <c r="AT6">
        <f t="shared" ref="AT6:AT25" ca="1" si="7">AN6-AR6</f>
        <v>-0.12381083065428</v>
      </c>
      <c r="AU6">
        <f ca="1">AS6-$B$1</f>
        <v>0.25641019023607381</v>
      </c>
      <c r="AV6">
        <f ca="1">AU6/AT6</f>
        <v>-2.0709835228555589</v>
      </c>
      <c r="AW6">
        <f ca="1">$D$2/($B$2*AV6+$C$2)*AU6+$E$2/($B$2*AV6+$C$2)*AT6</f>
        <v>-7.1425329873422816E-2</v>
      </c>
      <c r="AX6">
        <f ca="1">AR6+AW6</f>
        <v>0.74039142145799008</v>
      </c>
      <c r="AY6">
        <f ca="1">IF(AO6+AP6-(AQ6+AX6)&gt;0,AW6,0.1)</f>
        <v>-7.1425329873422816E-2</v>
      </c>
      <c r="AZ6">
        <f ca="1">IF(AND((AG6+AP6-(AQ6+AX6)&gt;0),AX6&gt;0),AX6,0.1)</f>
        <v>0.74039142145799008</v>
      </c>
      <c r="BA6">
        <f ca="1">-(BB4-1)*1.5+(RAND()*0.6-0.3)</f>
        <v>-9.1315000018491581</v>
      </c>
      <c r="BB6">
        <f ca="1">RAND()*1.6+0.4</f>
        <v>0.89213394915238509</v>
      </c>
      <c r="BC6">
        <f t="shared" ref="BC6:BC25" ca="1" si="8">AQ6-BA6</f>
        <v>1.6396187353915579</v>
      </c>
      <c r="BD6">
        <f t="shared" ref="BD6:BD25" ca="1" si="9">AX6-BB6</f>
        <v>-0.151742527694395</v>
      </c>
      <c r="BE6">
        <f ca="1">BC6-$B$1</f>
        <v>0.63961873539155789</v>
      </c>
      <c r="BF6">
        <f ca="1">BE6/BD6</f>
        <v>-4.2151580384882692</v>
      </c>
      <c r="BG6">
        <f ca="1">$D$2/($B$2*BF6+$C$2)*BE6+$E$2/($B$2*BF6+$C$2)*BD6</f>
        <v>-9.6176127826986466E-2</v>
      </c>
      <c r="BH6">
        <f ca="1">BB6+BG6</f>
        <v>0.79595782132539861</v>
      </c>
      <c r="BI6">
        <f ca="1">IF(AY6+AZ6-(BA6+BH6)&gt;0,BG6,0.1)</f>
        <v>-9.6176127826986466E-2</v>
      </c>
      <c r="BJ6">
        <f ca="1">IF(AND((AQ6+AZ6-(BA6+BH6)&gt;0),BH6&gt;0),BH6,0.1)</f>
        <v>0.79595782132539861</v>
      </c>
    </row>
    <row r="7" spans="1:62" x14ac:dyDescent="0.15">
      <c r="A7">
        <f ca="1">A6+B6</f>
        <v>0.73596910451837694</v>
      </c>
      <c r="B7">
        <f ca="1">B6</f>
        <v>0.59480994033199053</v>
      </c>
      <c r="C7">
        <f ca="1">C6+L6</f>
        <v>-1.0270516841294106</v>
      </c>
      <c r="D7">
        <f ca="1">L6</f>
        <v>0.61854254351756499</v>
      </c>
      <c r="E7">
        <f ca="1">A7-C7</f>
        <v>1.7630207886477876</v>
      </c>
      <c r="F7">
        <f ca="1">B7-D7</f>
        <v>-2.3732603185574463E-2</v>
      </c>
      <c r="G7">
        <f ca="1">E7-$B$1</f>
        <v>0.76302078864778755</v>
      </c>
      <c r="H7">
        <f ca="1">G7/F7</f>
        <v>-32.150741437061541</v>
      </c>
      <c r="I7">
        <f ca="1">$D$2/($B$2*H7+$C$2)*G7+$E$2/($B$2*H7+$C$2)*F7</f>
        <v>-1.5737534494416519E-2</v>
      </c>
      <c r="J7">
        <f ca="1">B7+I7</f>
        <v>0.57907240583757402</v>
      </c>
      <c r="K7">
        <f t="shared" ref="K7:K25" ca="1" si="10">IF(A7+B7-(C7+J7)&gt;0,I7,0.1)</f>
        <v>-1.5737534494416519E-2</v>
      </c>
      <c r="L7">
        <f t="shared" ref="L7:L25" ca="1" si="11">IF(AND((A7+B7-(C7+J7)&gt;0),J7&gt;0),J7,0.1)</f>
        <v>0.57907240583757402</v>
      </c>
      <c r="M7">
        <f ca="1">M6+V6</f>
        <v>-2.3081447747315975</v>
      </c>
      <c r="N7">
        <f ca="1">V6</f>
        <v>0.73518478887307204</v>
      </c>
      <c r="O7">
        <f t="shared" ca="1" si="0"/>
        <v>1.2810930906021869</v>
      </c>
      <c r="P7">
        <f t="shared" ca="1" si="1"/>
        <v>-0.15611238303549801</v>
      </c>
      <c r="Q7">
        <f ca="1">O7-$B$1</f>
        <v>0.2810930906021869</v>
      </c>
      <c r="R7">
        <f ca="1">Q7/P7</f>
        <v>-1.8005816395632743</v>
      </c>
      <c r="S7">
        <f ca="1">$D$2/($B$2*R7+$C$2)*Q7+$E$2/($B$2*R7+$C$2)*P7</f>
        <v>-8.6141760264109898E-2</v>
      </c>
      <c r="T7">
        <f ca="1">N7+S7</f>
        <v>0.64904302860896212</v>
      </c>
      <c r="U7">
        <f t="shared" ref="U7:U25" ca="1" si="12">IF(K7+L7-(M7+T7)&gt;0,S7,0.1)</f>
        <v>-8.6141760264109898E-2</v>
      </c>
      <c r="V7">
        <f t="shared" ref="V7:V25" ca="1" si="13">IF(AND((C7+L7-(M7+T7)&gt;0),T7&gt;0),T7,0.1)</f>
        <v>0.64904302860896212</v>
      </c>
      <c r="W7">
        <f ca="1">W6+AF6</f>
        <v>-3.6009361627777046</v>
      </c>
      <c r="X7">
        <f ca="1">AF6</f>
        <v>0.69920524451538901</v>
      </c>
      <c r="Y7">
        <f t="shared" ca="1" si="2"/>
        <v>1.292791388046107</v>
      </c>
      <c r="Z7">
        <f t="shared" ca="1" si="3"/>
        <v>-5.0162215906426888E-2</v>
      </c>
      <c r="AA7">
        <f ca="1">Y7-$B$1</f>
        <v>0.29279138804610705</v>
      </c>
      <c r="AB7">
        <f ca="1">AA7/Z7</f>
        <v>-5.8368910295407028</v>
      </c>
      <c r="AC7">
        <f ca="1">$D$2/($B$2*AB7+$C$2)*AA7+$E$2/($B$2*AB7+$C$2)*Z7</f>
        <v>-3.2327553962065811E-2</v>
      </c>
      <c r="AD7">
        <f ca="1">X7+AC7</f>
        <v>0.66687769055332324</v>
      </c>
      <c r="AE7">
        <f t="shared" ref="AE7:AE25" ca="1" si="14">IF(U7+V7-(W7+AD7)&gt;0,AC7,0.1)</f>
        <v>-3.2327553962065811E-2</v>
      </c>
      <c r="AF7">
        <f t="shared" ref="AF7:AF25" ca="1" si="15">IF(AND((M7+V7-(W7+AD7)&gt;0),AD7&gt;0),AD7,0.1)</f>
        <v>0.66687769055332324</v>
      </c>
      <c r="AG7">
        <f ca="1">AG6+AP6</f>
        <v>-5.5474651555443932</v>
      </c>
      <c r="AH7">
        <f ca="1">AP6</f>
        <v>0.68800592067713295</v>
      </c>
      <c r="AI7">
        <f t="shared" ca="1" si="4"/>
        <v>1.9465289927666887</v>
      </c>
      <c r="AJ7">
        <f t="shared" ca="1" si="5"/>
        <v>-2.112823012380971E-2</v>
      </c>
      <c r="AK7">
        <f ca="1">AI7-$B$1</f>
        <v>0.94652899276668867</v>
      </c>
      <c r="AL7">
        <f ca="1">AK7/AJ7</f>
        <v>-44.799256124157381</v>
      </c>
      <c r="AM7">
        <f ca="1">$D$2/($B$2*AL7+$C$2)*AK7+$E$2/($B$2*AL7+$C$2)*AJ7</f>
        <v>-1.4032091278900148E-2</v>
      </c>
      <c r="AN7">
        <f ca="1">AH7+AM7</f>
        <v>0.6739738293982328</v>
      </c>
      <c r="AO7">
        <f t="shared" ref="AO7:AO25" ca="1" si="16">IF(AE7+AF7-(AG7+AN7)&gt;0,AM7,0.1)</f>
        <v>-1.4032091278900148E-2</v>
      </c>
      <c r="AP7">
        <f t="shared" ref="AP7:AP25" ca="1" si="17">IF(AND((W7+AF7-(AG7+AN7)&gt;0),AN7&gt;0),AN7,0.1)</f>
        <v>0.6739738293982328</v>
      </c>
      <c r="AQ7">
        <f ca="1">AQ6+AZ6</f>
        <v>-6.7514898449996101</v>
      </c>
      <c r="AR7">
        <f ca="1">AZ6</f>
        <v>0.74039142145799008</v>
      </c>
      <c r="AS7">
        <f t="shared" ca="1" si="6"/>
        <v>1.2040246894552169</v>
      </c>
      <c r="AT7">
        <f t="shared" ca="1" si="7"/>
        <v>-6.641759205975728E-2</v>
      </c>
      <c r="AU7">
        <f ca="1">AS7-$B$1</f>
        <v>0.2040246894552169</v>
      </c>
      <c r="AV7">
        <f ca="1">AU7/AT7</f>
        <v>-3.0718471285687636</v>
      </c>
      <c r="AW7">
        <f ca="1">$D$2/($B$2*AV7+$C$2)*AU7+$E$2/($B$2*AV7+$C$2)*AT7</f>
        <v>-4.0981683975129621E-2</v>
      </c>
      <c r="AX7">
        <f ca="1">AR7+AW7</f>
        <v>0.69940973748286051</v>
      </c>
      <c r="AY7">
        <f t="shared" ref="AY7:AY25" ca="1" si="18">IF(AO7+AP7-(AQ7+AX7)&gt;0,AW7,0.1)</f>
        <v>-4.0981683975129621E-2</v>
      </c>
      <c r="AZ7">
        <f t="shared" ref="AZ7:AZ25" ca="1" si="19">IF(AND((AG7+AP7-(AQ7+AX7)&gt;0),AX7&gt;0),AX7,0.1)</f>
        <v>0.69940973748286051</v>
      </c>
      <c r="BA7">
        <f ca="1">BA6+BJ6</f>
        <v>-8.3355421805237597</v>
      </c>
      <c r="BB7">
        <f ca="1">BJ6</f>
        <v>0.79595782132539861</v>
      </c>
      <c r="BC7">
        <f t="shared" ca="1" si="8"/>
        <v>1.5840523355241496</v>
      </c>
      <c r="BD7">
        <f t="shared" ca="1" si="9"/>
        <v>-9.6548083842538102E-2</v>
      </c>
      <c r="BE7">
        <f ca="1">BC7-$B$1</f>
        <v>0.58405233552414959</v>
      </c>
      <c r="BF7">
        <f ca="1">BE7/BD7</f>
        <v>-6.0493415537556432</v>
      </c>
      <c r="BG7">
        <f ca="1">$D$2/($B$2*BF7+$C$2)*BE7+$E$2/($B$2*BF7+$C$2)*BD7</f>
        <v>-6.2308727425298069E-2</v>
      </c>
      <c r="BH7">
        <f ca="1">BB7+BG7</f>
        <v>0.73364909390010058</v>
      </c>
      <c r="BI7">
        <f t="shared" ref="BI7:BI25" ca="1" si="20">IF(AY7+AZ7-(BA7+BH7)&gt;0,BG7,0.1)</f>
        <v>-6.2308727425298069E-2</v>
      </c>
      <c r="BJ7">
        <f t="shared" ref="BJ7:BJ25" ca="1" si="21">IF(AND((AQ7+AZ7-(BA7+BH7)&gt;0),BH7&gt;0),BH7,0.1)</f>
        <v>0.73364909390010058</v>
      </c>
    </row>
    <row r="8" spans="1:62" x14ac:dyDescent="0.15">
      <c r="A8">
        <f t="shared" ref="A8:A20" ca="1" si="22">A7+B7</f>
        <v>1.3307790448503676</v>
      </c>
      <c r="B8">
        <f t="shared" ref="B8:B20" ca="1" si="23">B7</f>
        <v>0.59480994033199053</v>
      </c>
      <c r="C8">
        <f t="shared" ref="C8:C25" ca="1" si="24">C7+L7</f>
        <v>-0.44797927829183659</v>
      </c>
      <c r="D8">
        <f t="shared" ref="D8:D25" ca="1" si="25">L7</f>
        <v>0.57907240583757402</v>
      </c>
      <c r="E8">
        <f t="shared" ref="E8:E20" ca="1" si="26">A8-C8</f>
        <v>1.7787583231422042</v>
      </c>
      <c r="F8">
        <f t="shared" ref="F8:F20" ca="1" si="27">B8-D8</f>
        <v>1.5737534494416505E-2</v>
      </c>
      <c r="G8">
        <f t="shared" ref="G8:G20" ca="1" si="28">E8-$B$1</f>
        <v>0.77875832314220417</v>
      </c>
      <c r="H8">
        <f t="shared" ref="H8:H20" ca="1" si="29">G8/F8</f>
        <v>49.484137646751378</v>
      </c>
      <c r="I8">
        <f t="shared" ref="I8:I20" ca="1" si="30">$D$2/($B$2*H8+$C$2)*G8+$E$2/($B$2*H8+$C$2)*F8</f>
        <v>1.0526441309037919E-2</v>
      </c>
      <c r="J8">
        <f t="shared" ref="J8:J20" ca="1" si="31">B8+I8</f>
        <v>0.60533638164102843</v>
      </c>
      <c r="K8">
        <f t="shared" ca="1" si="10"/>
        <v>1.0526441309037919E-2</v>
      </c>
      <c r="L8">
        <f t="shared" ca="1" si="11"/>
        <v>0.60533638164102843</v>
      </c>
      <c r="M8">
        <f t="shared" ref="M8:M25" ca="1" si="32">M7+V7</f>
        <v>-1.6591017461226354</v>
      </c>
      <c r="N8">
        <f t="shared" ref="N8:N20" ca="1" si="33">T7</f>
        <v>0.64904302860896212</v>
      </c>
      <c r="O8">
        <f t="shared" ca="1" si="0"/>
        <v>1.2111224678307988</v>
      </c>
      <c r="P8">
        <f t="shared" ca="1" si="1"/>
        <v>-4.3706646967933693E-2</v>
      </c>
      <c r="Q8">
        <f t="shared" ref="Q8:Q20" ca="1" si="34">O8-$B$1</f>
        <v>0.2111224678307988</v>
      </c>
      <c r="R8">
        <f t="shared" ref="R8:R20" ca="1" si="35">Q8/P8</f>
        <v>-4.8304430213027612</v>
      </c>
      <c r="S8">
        <f t="shared" ref="S8:S20" ca="1" si="36">$D$2/($B$2*R8+$C$2)*Q8+$E$2/($B$2*R8+$C$2)*P8</f>
        <v>-2.7922813221222698E-2</v>
      </c>
      <c r="T8">
        <f t="shared" ref="T8:T20" ca="1" si="37">N8+S8</f>
        <v>0.62112021538773943</v>
      </c>
      <c r="U8">
        <f t="shared" ca="1" si="12"/>
        <v>-2.7922813221222698E-2</v>
      </c>
      <c r="V8">
        <f t="shared" ca="1" si="13"/>
        <v>0.62112021538773943</v>
      </c>
      <c r="W8">
        <f t="shared" ref="W8:W25" ca="1" si="38">W7+AF7</f>
        <v>-2.9340584722243812</v>
      </c>
      <c r="X8">
        <f t="shared" ref="X8:X25" ca="1" si="39">AF7</f>
        <v>0.66687769055332324</v>
      </c>
      <c r="Y8">
        <f t="shared" ca="1" si="2"/>
        <v>1.2749567261017458</v>
      </c>
      <c r="Z8">
        <f t="shared" ca="1" si="3"/>
        <v>-4.5757475165583816E-2</v>
      </c>
      <c r="AA8">
        <f t="shared" ref="AA8:AA20" ca="1" si="40">Y8-$B$1</f>
        <v>0.27495672610174582</v>
      </c>
      <c r="AB8">
        <f t="shared" ref="AB8:AB20" ca="1" si="41">AA8/Z8</f>
        <v>-6.0090012638755192</v>
      </c>
      <c r="AC8">
        <f t="shared" ref="AC8:AC20" ca="1" si="42">$D$2/($B$2*AB8+$C$2)*AA8+$E$2/($B$2*AB8+$C$2)*Z8</f>
        <v>-2.952266309869328E-2</v>
      </c>
      <c r="AD8">
        <f t="shared" ref="AD8:AD20" ca="1" si="43">X8+AC8</f>
        <v>0.63735502745463002</v>
      </c>
      <c r="AE8">
        <f t="shared" ca="1" si="14"/>
        <v>-2.952266309869328E-2</v>
      </c>
      <c r="AF8">
        <f t="shared" ca="1" si="15"/>
        <v>0.63735502745463002</v>
      </c>
      <c r="AG8">
        <f t="shared" ref="AG8:AG25" ca="1" si="44">AG7+AP7</f>
        <v>-4.8734913261461603</v>
      </c>
      <c r="AH8">
        <f t="shared" ref="AH8:AH25" ca="1" si="45">AP7</f>
        <v>0.6739738293982328</v>
      </c>
      <c r="AI8">
        <f t="shared" ca="1" si="4"/>
        <v>1.9394328539217791</v>
      </c>
      <c r="AJ8">
        <f t="shared" ca="1" si="5"/>
        <v>-3.6618801943602786E-2</v>
      </c>
      <c r="AK8">
        <f t="shared" ref="AK8:AK20" ca="1" si="46">AI8-$B$1</f>
        <v>0.93943285392177911</v>
      </c>
      <c r="AL8">
        <f t="shared" ref="AL8:AL20" ca="1" si="47">AK8/AJ8</f>
        <v>-25.654385290065331</v>
      </c>
      <c r="AM8">
        <f t="shared" ref="AM8:AM20" ca="1" si="48">$D$2/($B$2*AL8+$C$2)*AK8+$E$2/($B$2*AL8+$C$2)*AJ8</f>
        <v>-2.4248611046030866E-2</v>
      </c>
      <c r="AN8">
        <f t="shared" ref="AN8:AN20" ca="1" si="49">AH8+AM8</f>
        <v>0.64972521835220198</v>
      </c>
      <c r="AO8">
        <f t="shared" ca="1" si="16"/>
        <v>-2.4248611046030866E-2</v>
      </c>
      <c r="AP8">
        <f t="shared" ca="1" si="17"/>
        <v>0.64972521835220198</v>
      </c>
      <c r="AQ8">
        <f t="shared" ref="AQ8:AQ25" ca="1" si="50">AQ7+AZ7</f>
        <v>-6.0520801075167494</v>
      </c>
      <c r="AR8">
        <f t="shared" ref="AR8:AR25" ca="1" si="51">AZ7</f>
        <v>0.69940973748286051</v>
      </c>
      <c r="AS8">
        <f t="shared" ca="1" si="6"/>
        <v>1.1785887813705891</v>
      </c>
      <c r="AT8">
        <f t="shared" ca="1" si="7"/>
        <v>-4.9684519130658522E-2</v>
      </c>
      <c r="AU8">
        <f t="shared" ref="AU8:AU20" ca="1" si="52">AS8-$B$1</f>
        <v>0.17858878137058909</v>
      </c>
      <c r="AV8">
        <f t="shared" ref="AV8:AV20" ca="1" si="53">AU8/AT8</f>
        <v>-3.5944552648470416</v>
      </c>
      <c r="AW8">
        <f t="shared" ref="AW8:AW20" ca="1" si="54">$D$2/($B$2*AV8+$C$2)*AU8+$E$2/($B$2*AV8+$C$2)*AT8</f>
        <v>-3.1123643561625794E-2</v>
      </c>
      <c r="AX8">
        <f t="shared" ref="AX8:AX20" ca="1" si="55">AR8+AW8</f>
        <v>0.66828609392123473</v>
      </c>
      <c r="AY8">
        <f t="shared" ca="1" si="18"/>
        <v>-3.1123643561625794E-2</v>
      </c>
      <c r="AZ8">
        <f t="shared" ca="1" si="19"/>
        <v>0.66828609392123473</v>
      </c>
      <c r="BA8">
        <f t="shared" ref="BA8:BA25" ca="1" si="56">BA7+BJ7</f>
        <v>-7.6018930866236589</v>
      </c>
      <c r="BB8">
        <f t="shared" ref="BB8:BB25" ca="1" si="57">BJ7</f>
        <v>0.73364909390010058</v>
      </c>
      <c r="BC8">
        <f t="shared" ca="1" si="8"/>
        <v>1.5498129791069095</v>
      </c>
      <c r="BD8">
        <f t="shared" ca="1" si="9"/>
        <v>-6.5362999978865854E-2</v>
      </c>
      <c r="BE8">
        <f t="shared" ref="BE8:BE20" ca="1" si="58">BC8-$B$1</f>
        <v>0.54981297910690952</v>
      </c>
      <c r="BF8">
        <f t="shared" ref="BF8:BF20" ca="1" si="59">BE8/BD8</f>
        <v>-8.4116851932237395</v>
      </c>
      <c r="BG8">
        <f t="shared" ref="BG8:BG20" ca="1" si="60">$D$2/($B$2*BF8+$C$2)*BE8+$E$2/($B$2*BF8+$C$2)*BD8</f>
        <v>-4.2617004161733349E-2</v>
      </c>
      <c r="BH8">
        <f t="shared" ref="BH8:BH20" ca="1" si="61">BB8+BG8</f>
        <v>0.69103208973836727</v>
      </c>
      <c r="BI8">
        <f t="shared" ca="1" si="20"/>
        <v>-4.2617004161733349E-2</v>
      </c>
      <c r="BJ8">
        <f t="shared" ca="1" si="21"/>
        <v>0.69103208973836727</v>
      </c>
    </row>
    <row r="9" spans="1:62" x14ac:dyDescent="0.15">
      <c r="A9">
        <f t="shared" ca="1" si="22"/>
        <v>1.9255889851823582</v>
      </c>
      <c r="B9">
        <f t="shared" ca="1" si="23"/>
        <v>0.59480994033199053</v>
      </c>
      <c r="C9">
        <f t="shared" ca="1" si="24"/>
        <v>0.15735710334919184</v>
      </c>
      <c r="D9">
        <f t="shared" ca="1" si="25"/>
        <v>0.60533638164102843</v>
      </c>
      <c r="E9">
        <f t="shared" ca="1" si="26"/>
        <v>1.7682318818331664</v>
      </c>
      <c r="F9">
        <f t="shared" ca="1" si="27"/>
        <v>-1.0526441309037904E-2</v>
      </c>
      <c r="G9">
        <f t="shared" ca="1" si="28"/>
        <v>0.76823188183316637</v>
      </c>
      <c r="H9">
        <f t="shared" ca="1" si="29"/>
        <v>-72.981158520645494</v>
      </c>
      <c r="I9">
        <f t="shared" ca="1" si="30"/>
        <v>-7.0014163148780801E-3</v>
      </c>
      <c r="J9">
        <f t="shared" ca="1" si="31"/>
        <v>0.58780852401711248</v>
      </c>
      <c r="K9">
        <f t="shared" ca="1" si="10"/>
        <v>-7.0014163148780801E-3</v>
      </c>
      <c r="L9">
        <f t="shared" ca="1" si="11"/>
        <v>0.58780852401711248</v>
      </c>
      <c r="M9">
        <f t="shared" ca="1" si="32"/>
        <v>-1.0379815307348959</v>
      </c>
      <c r="N9">
        <f t="shared" ca="1" si="33"/>
        <v>0.62112021538773943</v>
      </c>
      <c r="O9">
        <f t="shared" ca="1" si="0"/>
        <v>1.1953386340840877</v>
      </c>
      <c r="P9">
        <f t="shared" ca="1" si="1"/>
        <v>-3.331169137062695E-2</v>
      </c>
      <c r="Q9">
        <f t="shared" ca="1" si="34"/>
        <v>0.19533863408408769</v>
      </c>
      <c r="R9">
        <f t="shared" ca="1" si="35"/>
        <v>-5.8639662546924969</v>
      </c>
      <c r="S9">
        <f t="shared" ca="1" si="36"/>
        <v>-2.1472042086463708E-2</v>
      </c>
      <c r="T9">
        <f t="shared" ca="1" si="37"/>
        <v>0.59964817330127573</v>
      </c>
      <c r="U9">
        <f t="shared" ca="1" si="12"/>
        <v>-2.1472042086463708E-2</v>
      </c>
      <c r="V9">
        <f t="shared" ca="1" si="13"/>
        <v>0.59964817330127573</v>
      </c>
      <c r="W9">
        <f t="shared" ca="1" si="38"/>
        <v>-2.2967034447697512</v>
      </c>
      <c r="X9">
        <f t="shared" ca="1" si="39"/>
        <v>0.63735502745463002</v>
      </c>
      <c r="Y9">
        <f t="shared" ca="1" si="2"/>
        <v>1.2587219140348553</v>
      </c>
      <c r="Z9">
        <f t="shared" ca="1" si="3"/>
        <v>-3.7706854153354286E-2</v>
      </c>
      <c r="AA9">
        <f t="shared" ca="1" si="40"/>
        <v>0.25872191403485534</v>
      </c>
      <c r="AB9">
        <f t="shared" ca="1" si="41"/>
        <v>-6.8614027832348414</v>
      </c>
      <c r="AC9">
        <f t="shared" ca="1" si="42"/>
        <v>-2.4442879180289055E-2</v>
      </c>
      <c r="AD9">
        <f t="shared" ca="1" si="43"/>
        <v>0.61291214827434093</v>
      </c>
      <c r="AE9">
        <f t="shared" ca="1" si="14"/>
        <v>-2.4442879180289055E-2</v>
      </c>
      <c r="AF9">
        <f t="shared" ca="1" si="15"/>
        <v>0.61291214827434093</v>
      </c>
      <c r="AG9">
        <f t="shared" ca="1" si="44"/>
        <v>-4.2237661077939581</v>
      </c>
      <c r="AH9">
        <f t="shared" ca="1" si="45"/>
        <v>0.64972521835220198</v>
      </c>
      <c r="AI9">
        <f t="shared" ca="1" si="4"/>
        <v>1.9270626630242069</v>
      </c>
      <c r="AJ9">
        <f t="shared" ca="1" si="5"/>
        <v>-3.6813070077861054E-2</v>
      </c>
      <c r="AK9">
        <f t="shared" ca="1" si="46"/>
        <v>0.92706266302420692</v>
      </c>
      <c r="AL9">
        <f t="shared" ca="1" si="47"/>
        <v>-25.182976075166614</v>
      </c>
      <c r="AM9">
        <f t="shared" ca="1" si="48"/>
        <v>-2.4374063099137394E-2</v>
      </c>
      <c r="AN9">
        <f t="shared" ca="1" si="49"/>
        <v>0.62535115525306462</v>
      </c>
      <c r="AO9">
        <f t="shared" ca="1" si="16"/>
        <v>-2.4374063099137394E-2</v>
      </c>
      <c r="AP9">
        <f t="shared" ca="1" si="17"/>
        <v>0.62535115525306462</v>
      </c>
      <c r="AQ9">
        <f t="shared" ca="1" si="50"/>
        <v>-5.3837940135955149</v>
      </c>
      <c r="AR9">
        <f t="shared" ca="1" si="51"/>
        <v>0.66828609392123473</v>
      </c>
      <c r="AS9">
        <f t="shared" ca="1" si="6"/>
        <v>1.1600279058015568</v>
      </c>
      <c r="AT9">
        <f t="shared" ca="1" si="7"/>
        <v>-4.2934938668170108E-2</v>
      </c>
      <c r="AU9">
        <f t="shared" ca="1" si="52"/>
        <v>0.16002790580155679</v>
      </c>
      <c r="AV9">
        <f t="shared" ca="1" si="53"/>
        <v>-3.7272186886852072</v>
      </c>
      <c r="AW9">
        <f t="shared" ca="1" si="54"/>
        <v>-2.697479979452494E-2</v>
      </c>
      <c r="AX9">
        <f t="shared" ca="1" si="55"/>
        <v>0.64131129412670984</v>
      </c>
      <c r="AY9">
        <f t="shared" ca="1" si="18"/>
        <v>-2.697479979452494E-2</v>
      </c>
      <c r="AZ9">
        <f t="shared" ca="1" si="19"/>
        <v>0.64131129412670984</v>
      </c>
      <c r="BA9">
        <f t="shared" ca="1" si="56"/>
        <v>-6.9108609968852921</v>
      </c>
      <c r="BB9">
        <f t="shared" ca="1" si="57"/>
        <v>0.69103208973836727</v>
      </c>
      <c r="BC9">
        <f t="shared" ca="1" si="8"/>
        <v>1.5270669832897772</v>
      </c>
      <c r="BD9">
        <f t="shared" ca="1" si="9"/>
        <v>-4.9720795611657431E-2</v>
      </c>
      <c r="BE9">
        <f t="shared" ca="1" si="58"/>
        <v>0.52706698328977719</v>
      </c>
      <c r="BF9">
        <f t="shared" ca="1" si="59"/>
        <v>-10.600533977903648</v>
      </c>
      <c r="BG9">
        <f t="shared" ca="1" si="60"/>
        <v>-3.2581576171706976E-2</v>
      </c>
      <c r="BH9">
        <f t="shared" ca="1" si="61"/>
        <v>0.65845051356666029</v>
      </c>
      <c r="BI9">
        <f t="shared" ca="1" si="20"/>
        <v>-3.2581576171706976E-2</v>
      </c>
      <c r="BJ9">
        <f t="shared" ca="1" si="21"/>
        <v>0.65845051356666029</v>
      </c>
    </row>
    <row r="10" spans="1:62" x14ac:dyDescent="0.15">
      <c r="A10">
        <f t="shared" ca="1" si="22"/>
        <v>2.5203989255143489</v>
      </c>
      <c r="B10">
        <f t="shared" ca="1" si="23"/>
        <v>0.59480994033199053</v>
      </c>
      <c r="C10">
        <f t="shared" ca="1" si="24"/>
        <v>0.74516562736630432</v>
      </c>
      <c r="D10">
        <f t="shared" ca="1" si="25"/>
        <v>0.58780852401711248</v>
      </c>
      <c r="E10">
        <f t="shared" ca="1" si="26"/>
        <v>1.7752332981480445</v>
      </c>
      <c r="F10">
        <f t="shared" ca="1" si="27"/>
        <v>7.0014163148780506E-3</v>
      </c>
      <c r="G10">
        <f t="shared" ca="1" si="28"/>
        <v>0.77523329814804454</v>
      </c>
      <c r="H10">
        <f t="shared" ca="1" si="29"/>
        <v>110.72521091206492</v>
      </c>
      <c r="I10">
        <f t="shared" ca="1" si="30"/>
        <v>4.6745842119884041E-3</v>
      </c>
      <c r="J10">
        <f t="shared" ca="1" si="31"/>
        <v>0.59948452454397894</v>
      </c>
      <c r="K10">
        <f t="shared" ca="1" si="10"/>
        <v>4.6745842119884041E-3</v>
      </c>
      <c r="L10">
        <f t="shared" ca="1" si="11"/>
        <v>0.59948452454397894</v>
      </c>
      <c r="M10">
        <f t="shared" ca="1" si="32"/>
        <v>-0.43833335743362012</v>
      </c>
      <c r="N10">
        <f t="shared" ca="1" si="33"/>
        <v>0.59964817330127573</v>
      </c>
      <c r="O10">
        <f t="shared" ca="1" si="0"/>
        <v>1.1834989847999244</v>
      </c>
      <c r="P10">
        <f t="shared" ca="1" si="1"/>
        <v>-1.6364875729679706E-4</v>
      </c>
      <c r="Q10">
        <f t="shared" ca="1" si="34"/>
        <v>0.18349898479992444</v>
      </c>
      <c r="R10">
        <f t="shared" ca="1" si="35"/>
        <v>-1121.2977588771209</v>
      </c>
      <c r="S10">
        <f t="shared" ca="1" si="36"/>
        <v>-1.0908294326473936E-4</v>
      </c>
      <c r="T10">
        <f t="shared" ca="1" si="37"/>
        <v>0.59953909035801101</v>
      </c>
      <c r="U10">
        <f t="shared" ca="1" si="12"/>
        <v>-1.0908294326473936E-4</v>
      </c>
      <c r="V10">
        <f t="shared" ca="1" si="13"/>
        <v>0.59953909035801101</v>
      </c>
      <c r="W10">
        <f t="shared" ca="1" si="38"/>
        <v>-1.6837912964954103</v>
      </c>
      <c r="X10">
        <f t="shared" ca="1" si="39"/>
        <v>0.61291214827434093</v>
      </c>
      <c r="Y10">
        <f t="shared" ca="1" si="2"/>
        <v>1.2454579390617901</v>
      </c>
      <c r="Z10">
        <f t="shared" ca="1" si="3"/>
        <v>-1.3373057916329922E-2</v>
      </c>
      <c r="AA10">
        <f t="shared" ca="1" si="40"/>
        <v>0.24545793906179014</v>
      </c>
      <c r="AB10">
        <f t="shared" ca="1" si="41"/>
        <v>-18.354660586795184</v>
      </c>
      <c r="AC10">
        <f t="shared" ca="1" si="42"/>
        <v>-8.8305669918015695E-3</v>
      </c>
      <c r="AD10">
        <f t="shared" ca="1" si="43"/>
        <v>0.6040815812825393</v>
      </c>
      <c r="AE10">
        <f t="shared" ca="1" si="14"/>
        <v>-8.8305669918015695E-3</v>
      </c>
      <c r="AF10">
        <f t="shared" ca="1" si="15"/>
        <v>0.6040815812825393</v>
      </c>
      <c r="AG10">
        <f t="shared" ca="1" si="44"/>
        <v>-3.5984149525408933</v>
      </c>
      <c r="AH10">
        <f t="shared" ca="1" si="45"/>
        <v>0.62535115525306462</v>
      </c>
      <c r="AI10">
        <f t="shared" ca="1" si="4"/>
        <v>1.914623656045483</v>
      </c>
      <c r="AJ10">
        <f t="shared" ca="1" si="5"/>
        <v>-2.1269573970525313E-2</v>
      </c>
      <c r="AK10">
        <f t="shared" ca="1" si="46"/>
        <v>0.91462365604548301</v>
      </c>
      <c r="AL10">
        <f t="shared" ca="1" si="47"/>
        <v>-43.001503335842031</v>
      </c>
      <c r="AM10">
        <f t="shared" ca="1" si="48"/>
        <v>-1.4123671670232308E-2</v>
      </c>
      <c r="AN10">
        <f t="shared" ca="1" si="49"/>
        <v>0.6112274835828323</v>
      </c>
      <c r="AO10">
        <f t="shared" ca="1" si="16"/>
        <v>-1.4123671670232308E-2</v>
      </c>
      <c r="AP10">
        <f t="shared" ca="1" si="17"/>
        <v>0.6112274835828323</v>
      </c>
      <c r="AQ10">
        <f t="shared" ca="1" si="50"/>
        <v>-4.7424827194688053</v>
      </c>
      <c r="AR10">
        <f t="shared" ca="1" si="51"/>
        <v>0.64131129412670984</v>
      </c>
      <c r="AS10">
        <f t="shared" ca="1" si="6"/>
        <v>1.144067766927912</v>
      </c>
      <c r="AT10">
        <f t="shared" ca="1" si="7"/>
        <v>-3.0083810543877543E-2</v>
      </c>
      <c r="AU10">
        <f t="shared" ca="1" si="52"/>
        <v>0.14406776692791201</v>
      </c>
      <c r="AV10">
        <f t="shared" ca="1" si="53"/>
        <v>-4.7888802755817022</v>
      </c>
      <c r="AW10">
        <f t="shared" ca="1" si="54"/>
        <v>-1.9210820997823876E-2</v>
      </c>
      <c r="AX10">
        <f t="shared" ca="1" si="55"/>
        <v>0.62210047312888594</v>
      </c>
      <c r="AY10">
        <f t="shared" ca="1" si="18"/>
        <v>-1.9210820997823876E-2</v>
      </c>
      <c r="AZ10">
        <f t="shared" ca="1" si="19"/>
        <v>0.62210047312888594</v>
      </c>
      <c r="BA10">
        <f t="shared" ca="1" si="56"/>
        <v>-6.2524104833186316</v>
      </c>
      <c r="BB10">
        <f t="shared" ca="1" si="57"/>
        <v>0.65845051356666029</v>
      </c>
      <c r="BC10">
        <f t="shared" ca="1" si="8"/>
        <v>1.5099277638498263</v>
      </c>
      <c r="BD10">
        <f t="shared" ca="1" si="9"/>
        <v>-3.6350040437774345E-2</v>
      </c>
      <c r="BE10">
        <f t="shared" ca="1" si="58"/>
        <v>0.5099277638498263</v>
      </c>
      <c r="BF10">
        <f t="shared" ca="1" si="59"/>
        <v>-14.028258502841114</v>
      </c>
      <c r="BG10">
        <f t="shared" ca="1" si="60"/>
        <v>-2.3927265840377545E-2</v>
      </c>
      <c r="BH10">
        <f t="shared" ca="1" si="61"/>
        <v>0.63452324772628277</v>
      </c>
      <c r="BI10">
        <f t="shared" ca="1" si="20"/>
        <v>-2.3927265840377545E-2</v>
      </c>
      <c r="BJ10">
        <f t="shared" ca="1" si="21"/>
        <v>0.63452324772628277</v>
      </c>
    </row>
    <row r="11" spans="1:62" x14ac:dyDescent="0.15">
      <c r="A11">
        <f t="shared" ca="1" si="22"/>
        <v>3.1152088658463395</v>
      </c>
      <c r="B11">
        <f t="shared" ca="1" si="23"/>
        <v>0.59480994033199053</v>
      </c>
      <c r="C11">
        <f t="shared" ca="1" si="24"/>
        <v>1.3446501519102831</v>
      </c>
      <c r="D11">
        <f t="shared" ca="1" si="25"/>
        <v>0.59948452454397894</v>
      </c>
      <c r="E11">
        <f t="shared" ca="1" si="26"/>
        <v>1.7705587139360563</v>
      </c>
      <c r="F11">
        <f t="shared" ca="1" si="27"/>
        <v>-4.6745842119884085E-3</v>
      </c>
      <c r="G11">
        <f t="shared" ca="1" si="28"/>
        <v>0.77055871393605635</v>
      </c>
      <c r="H11">
        <f t="shared" ca="1" si="29"/>
        <v>-164.84005400092835</v>
      </c>
      <c r="I11">
        <f t="shared" ca="1" si="30"/>
        <v>-3.1132225419645827E-3</v>
      </c>
      <c r="J11">
        <f t="shared" ca="1" si="31"/>
        <v>0.59169671779002597</v>
      </c>
      <c r="K11">
        <f t="shared" ca="1" si="10"/>
        <v>-3.1132225419645827E-3</v>
      </c>
      <c r="L11">
        <f t="shared" ca="1" si="11"/>
        <v>0.59169671779002597</v>
      </c>
      <c r="M11">
        <f t="shared" ca="1" si="32"/>
        <v>0.16120573292439089</v>
      </c>
      <c r="N11">
        <f t="shared" ca="1" si="33"/>
        <v>0.59953909035801101</v>
      </c>
      <c r="O11">
        <f t="shared" ca="1" si="0"/>
        <v>1.1834444189858924</v>
      </c>
      <c r="P11">
        <f t="shared" ca="1" si="1"/>
        <v>-7.8423725679850342E-3</v>
      </c>
      <c r="Q11">
        <f t="shared" ca="1" si="34"/>
        <v>0.18344441898589237</v>
      </c>
      <c r="R11">
        <f t="shared" ca="1" si="35"/>
        <v>-23.391444029931534</v>
      </c>
      <c r="S11">
        <f t="shared" ca="1" si="36"/>
        <v>-5.1896203773361925E-3</v>
      </c>
      <c r="T11">
        <f t="shared" ca="1" si="37"/>
        <v>0.59434946998067484</v>
      </c>
      <c r="U11">
        <f t="shared" ca="1" si="12"/>
        <v>0.1</v>
      </c>
      <c r="V11">
        <f t="shared" ca="1" si="13"/>
        <v>0.59434946998067484</v>
      </c>
      <c r="W11">
        <f t="shared" ca="1" si="38"/>
        <v>-1.079709715212871</v>
      </c>
      <c r="X11">
        <f t="shared" ca="1" si="39"/>
        <v>0.6040815812825393</v>
      </c>
      <c r="Y11">
        <f t="shared" ca="1" si="2"/>
        <v>1.2409154481372617</v>
      </c>
      <c r="Z11">
        <f t="shared" ca="1" si="3"/>
        <v>-9.7321113018644656E-3</v>
      </c>
      <c r="AA11">
        <f t="shared" ca="1" si="40"/>
        <v>0.24091544813726173</v>
      </c>
      <c r="AB11">
        <f t="shared" ca="1" si="41"/>
        <v>-24.754695118530698</v>
      </c>
      <c r="AC11">
        <f t="shared" ca="1" si="42"/>
        <v>-6.4428700147122469E-3</v>
      </c>
      <c r="AD11">
        <f t="shared" ca="1" si="43"/>
        <v>0.59763871126782708</v>
      </c>
      <c r="AE11">
        <f t="shared" ca="1" si="14"/>
        <v>-6.4428700147122469E-3</v>
      </c>
      <c r="AF11">
        <f t="shared" ca="1" si="15"/>
        <v>0.59763871126782708</v>
      </c>
      <c r="AG11">
        <f t="shared" ca="1" si="44"/>
        <v>-2.9871874689580609</v>
      </c>
      <c r="AH11">
        <f t="shared" ca="1" si="45"/>
        <v>0.6112274835828323</v>
      </c>
      <c r="AI11">
        <f t="shared" ca="1" si="4"/>
        <v>1.9074777537451899</v>
      </c>
      <c r="AJ11">
        <f t="shared" ca="1" si="5"/>
        <v>-1.3588772315005215E-2</v>
      </c>
      <c r="AK11">
        <f t="shared" ca="1" si="46"/>
        <v>0.90747775374518991</v>
      </c>
      <c r="AL11">
        <f t="shared" ca="1" si="47"/>
        <v>-66.781437845059784</v>
      </c>
      <c r="AM11">
        <f t="shared" ca="1" si="48"/>
        <v>-9.0362868202551547E-3</v>
      </c>
      <c r="AN11">
        <f t="shared" ca="1" si="49"/>
        <v>0.60219119676257715</v>
      </c>
      <c r="AO11">
        <f t="shared" ca="1" si="16"/>
        <v>-9.0362868202551547E-3</v>
      </c>
      <c r="AP11">
        <f t="shared" ca="1" si="17"/>
        <v>0.60219119676257715</v>
      </c>
      <c r="AQ11">
        <f t="shared" ca="1" si="50"/>
        <v>-4.1203822463399193</v>
      </c>
      <c r="AR11">
        <f t="shared" ca="1" si="51"/>
        <v>0.62210047312888594</v>
      </c>
      <c r="AS11">
        <f t="shared" ca="1" si="6"/>
        <v>1.1331947773818585</v>
      </c>
      <c r="AT11">
        <f t="shared" ca="1" si="7"/>
        <v>-1.9909276366308792E-2</v>
      </c>
      <c r="AU11">
        <f t="shared" ca="1" si="52"/>
        <v>0.13319477738185848</v>
      </c>
      <c r="AV11">
        <f t="shared" ca="1" si="53"/>
        <v>-6.6900863161081814</v>
      </c>
      <c r="AW11">
        <f t="shared" ca="1" si="54"/>
        <v>-1.2895143019659628E-2</v>
      </c>
      <c r="AX11">
        <f t="shared" ca="1" si="55"/>
        <v>0.60920533010922628</v>
      </c>
      <c r="AY11">
        <f t="shared" ca="1" si="18"/>
        <v>-1.2895143019659628E-2</v>
      </c>
      <c r="AZ11">
        <f t="shared" ca="1" si="19"/>
        <v>0.60920533010922628</v>
      </c>
      <c r="BA11">
        <f t="shared" ca="1" si="56"/>
        <v>-5.6178872355923488</v>
      </c>
      <c r="BB11">
        <f t="shared" ca="1" si="57"/>
        <v>0.63452324772628277</v>
      </c>
      <c r="BC11">
        <f t="shared" ca="1" si="8"/>
        <v>1.4975049892524295</v>
      </c>
      <c r="BD11">
        <f t="shared" ca="1" si="9"/>
        <v>-2.5317917617056485E-2</v>
      </c>
      <c r="BE11">
        <f t="shared" ca="1" si="58"/>
        <v>0.49750498925242947</v>
      </c>
      <c r="BF11">
        <f t="shared" ca="1" si="59"/>
        <v>-19.650312351015167</v>
      </c>
      <c r="BG11">
        <f t="shared" ca="1" si="60"/>
        <v>-1.6729113679430013E-2</v>
      </c>
      <c r="BH11">
        <f t="shared" ca="1" si="61"/>
        <v>0.61779413404685279</v>
      </c>
      <c r="BI11">
        <f t="shared" ca="1" si="20"/>
        <v>-1.6729113679430013E-2</v>
      </c>
      <c r="BJ11">
        <f t="shared" ca="1" si="21"/>
        <v>0.61779413404685279</v>
      </c>
    </row>
    <row r="12" spans="1:62" x14ac:dyDescent="0.15">
      <c r="A12">
        <f t="shared" ca="1" si="22"/>
        <v>3.7100188061783301</v>
      </c>
      <c r="B12">
        <f t="shared" ca="1" si="23"/>
        <v>0.59480994033199053</v>
      </c>
      <c r="C12">
        <f t="shared" ca="1" si="24"/>
        <v>1.936346869700309</v>
      </c>
      <c r="D12">
        <f t="shared" ca="1" si="25"/>
        <v>0.59169671779002597</v>
      </c>
      <c r="E12">
        <f t="shared" ca="1" si="26"/>
        <v>1.7736719364780211</v>
      </c>
      <c r="F12">
        <f t="shared" ca="1" si="27"/>
        <v>3.1132225419645554E-3</v>
      </c>
      <c r="G12">
        <f t="shared" ca="1" si="28"/>
        <v>0.77367193647802113</v>
      </c>
      <c r="H12">
        <f t="shared" ca="1" si="29"/>
        <v>248.51160687979802</v>
      </c>
      <c r="I12">
        <f t="shared" ca="1" si="30"/>
        <v>2.0768689841363722E-3</v>
      </c>
      <c r="J12">
        <f t="shared" ca="1" si="31"/>
        <v>0.59688680931612692</v>
      </c>
      <c r="K12">
        <f t="shared" ca="1" si="10"/>
        <v>2.0768689841363722E-3</v>
      </c>
      <c r="L12">
        <f t="shared" ca="1" si="11"/>
        <v>0.59688680931612692</v>
      </c>
      <c r="M12">
        <f t="shared" ca="1" si="32"/>
        <v>0.75555520290506573</v>
      </c>
      <c r="N12">
        <f t="shared" ca="1" si="33"/>
        <v>0.59434946998067484</v>
      </c>
      <c r="O12">
        <f t="shared" ca="1" si="0"/>
        <v>1.1807916667952432</v>
      </c>
      <c r="P12">
        <f t="shared" ca="1" si="1"/>
        <v>2.5373393354520823E-3</v>
      </c>
      <c r="Q12">
        <f t="shared" ca="1" si="34"/>
        <v>0.18079166679524317</v>
      </c>
      <c r="R12">
        <f t="shared" ca="1" si="35"/>
        <v>71.252458931761751</v>
      </c>
      <c r="S12">
        <f t="shared" ca="1" si="36"/>
        <v>1.695470543918039E-3</v>
      </c>
      <c r="T12">
        <f t="shared" ca="1" si="37"/>
        <v>0.59604494052459289</v>
      </c>
      <c r="U12">
        <f t="shared" ca="1" si="12"/>
        <v>0.1</v>
      </c>
      <c r="V12">
        <f t="shared" ca="1" si="13"/>
        <v>0.59604494052459289</v>
      </c>
      <c r="W12">
        <f t="shared" ca="1" si="38"/>
        <v>-0.48207100394504387</v>
      </c>
      <c r="X12">
        <f t="shared" ca="1" si="39"/>
        <v>0.59763871126782708</v>
      </c>
      <c r="Y12">
        <f t="shared" ca="1" si="2"/>
        <v>1.2376262068501096</v>
      </c>
      <c r="Z12">
        <f t="shared" ca="1" si="3"/>
        <v>-1.5937707432341908E-3</v>
      </c>
      <c r="AA12">
        <f t="shared" ca="1" si="40"/>
        <v>0.2376262068501096</v>
      </c>
      <c r="AB12">
        <f t="shared" ca="1" si="41"/>
        <v>-149.09685590532419</v>
      </c>
      <c r="AC12">
        <f t="shared" ca="1" si="42"/>
        <v>-1.0613194309354031E-3</v>
      </c>
      <c r="AD12">
        <f t="shared" ca="1" si="43"/>
        <v>0.59657739183689174</v>
      </c>
      <c r="AE12">
        <f t="shared" ca="1" si="14"/>
        <v>-1.0613194309354031E-3</v>
      </c>
      <c r="AF12">
        <f t="shared" ca="1" si="15"/>
        <v>0.59657739183689174</v>
      </c>
      <c r="AG12">
        <f t="shared" ca="1" si="44"/>
        <v>-2.3849962721954836</v>
      </c>
      <c r="AH12">
        <f t="shared" ca="1" si="45"/>
        <v>0.60219119676257715</v>
      </c>
      <c r="AI12">
        <f t="shared" ca="1" si="4"/>
        <v>1.9029252682504398</v>
      </c>
      <c r="AJ12">
        <f t="shared" ca="1" si="5"/>
        <v>-5.6138049256854172E-3</v>
      </c>
      <c r="AK12">
        <f t="shared" ca="1" si="46"/>
        <v>0.90292526825043984</v>
      </c>
      <c r="AL12">
        <f t="shared" ca="1" si="47"/>
        <v>-160.84015746952539</v>
      </c>
      <c r="AM12">
        <f t="shared" ca="1" si="48"/>
        <v>-3.7386383077469879E-3</v>
      </c>
      <c r="AN12">
        <f t="shared" ca="1" si="49"/>
        <v>0.59845255845483014</v>
      </c>
      <c r="AO12">
        <f t="shared" ca="1" si="16"/>
        <v>-3.7386383077469879E-3</v>
      </c>
      <c r="AP12">
        <f t="shared" ca="1" si="17"/>
        <v>0.59845255845483014</v>
      </c>
      <c r="AQ12">
        <f t="shared" ca="1" si="50"/>
        <v>-3.5111769162306929</v>
      </c>
      <c r="AR12">
        <f t="shared" ca="1" si="51"/>
        <v>0.60920533010922628</v>
      </c>
      <c r="AS12">
        <f t="shared" ca="1" si="6"/>
        <v>1.1261806440352093</v>
      </c>
      <c r="AT12">
        <f t="shared" ca="1" si="7"/>
        <v>-1.0752771654396143E-2</v>
      </c>
      <c r="AU12">
        <f t="shared" ca="1" si="52"/>
        <v>0.12618064403520934</v>
      </c>
      <c r="AV12">
        <f t="shared" ca="1" si="53"/>
        <v>-11.73470878865189</v>
      </c>
      <c r="AW12">
        <f t="shared" ca="1" si="54"/>
        <v>-7.0589179536054685E-3</v>
      </c>
      <c r="AX12">
        <f t="shared" ca="1" si="55"/>
        <v>0.60214641215562081</v>
      </c>
      <c r="AY12">
        <f t="shared" ca="1" si="18"/>
        <v>-7.0589179536054685E-3</v>
      </c>
      <c r="AZ12">
        <f t="shared" ca="1" si="19"/>
        <v>0.60214641215562081</v>
      </c>
      <c r="BA12">
        <f t="shared" ca="1" si="56"/>
        <v>-5.0000931015454961</v>
      </c>
      <c r="BB12">
        <f t="shared" ca="1" si="57"/>
        <v>0.61779413404685279</v>
      </c>
      <c r="BC12">
        <f t="shared" ca="1" si="8"/>
        <v>1.4889161853148032</v>
      </c>
      <c r="BD12">
        <f t="shared" ca="1" si="9"/>
        <v>-1.564772189123198E-2</v>
      </c>
      <c r="BE12">
        <f t="shared" ca="1" si="58"/>
        <v>0.48891618531480319</v>
      </c>
      <c r="BF12">
        <f t="shared" ca="1" si="59"/>
        <v>-31.245199059216517</v>
      </c>
      <c r="BG12">
        <f t="shared" ca="1" si="60"/>
        <v>-1.037464494263233E-2</v>
      </c>
      <c r="BH12">
        <f t="shared" ca="1" si="61"/>
        <v>0.6074194891042205</v>
      </c>
      <c r="BI12">
        <f t="shared" ca="1" si="20"/>
        <v>-1.037464494263233E-2</v>
      </c>
      <c r="BJ12">
        <f t="shared" ca="1" si="21"/>
        <v>0.6074194891042205</v>
      </c>
    </row>
    <row r="13" spans="1:62" x14ac:dyDescent="0.15">
      <c r="A13">
        <f t="shared" ca="1" si="22"/>
        <v>4.3048287465103208</v>
      </c>
      <c r="B13">
        <f t="shared" ca="1" si="23"/>
        <v>0.59480994033199053</v>
      </c>
      <c r="C13">
        <f t="shared" ca="1" si="24"/>
        <v>2.533233679016436</v>
      </c>
      <c r="D13">
        <f t="shared" ca="1" si="25"/>
        <v>0.59688680931612692</v>
      </c>
      <c r="E13">
        <f t="shared" ca="1" si="26"/>
        <v>1.7715950674938847</v>
      </c>
      <c r="F13">
        <f t="shared" ca="1" si="27"/>
        <v>-2.076868984136393E-3</v>
      </c>
      <c r="G13">
        <f t="shared" ca="1" si="28"/>
        <v>0.77159506749388473</v>
      </c>
      <c r="H13">
        <f t="shared" ca="1" si="29"/>
        <v>-371.51841227708962</v>
      </c>
      <c r="I13">
        <f t="shared" ca="1" si="30"/>
        <v>-1.3839567910357436E-3</v>
      </c>
      <c r="J13">
        <f t="shared" ca="1" si="31"/>
        <v>0.59342598354095477</v>
      </c>
      <c r="K13">
        <f t="shared" ca="1" si="10"/>
        <v>-1.3839567910357436E-3</v>
      </c>
      <c r="L13">
        <f t="shared" ca="1" si="11"/>
        <v>0.59342598354095477</v>
      </c>
      <c r="M13">
        <f t="shared" ca="1" si="32"/>
        <v>1.3516001434296587</v>
      </c>
      <c r="N13">
        <f t="shared" ca="1" si="33"/>
        <v>0.59604494052459289</v>
      </c>
      <c r="O13">
        <f t="shared" ca="1" si="0"/>
        <v>1.1816335355867773</v>
      </c>
      <c r="P13">
        <f t="shared" ca="1" si="1"/>
        <v>-2.618956983638121E-3</v>
      </c>
      <c r="Q13">
        <f t="shared" ca="1" si="34"/>
        <v>0.18163353558677731</v>
      </c>
      <c r="R13">
        <f t="shared" ca="1" si="35"/>
        <v>-69.353386375388766</v>
      </c>
      <c r="S13">
        <f t="shared" ca="1" si="36"/>
        <v>-1.741724460266308E-3</v>
      </c>
      <c r="T13">
        <f t="shared" ca="1" si="37"/>
        <v>0.59430321606432657</v>
      </c>
      <c r="U13">
        <f t="shared" ca="1" si="12"/>
        <v>0.1</v>
      </c>
      <c r="V13">
        <f t="shared" ca="1" si="13"/>
        <v>0.59430321606432657</v>
      </c>
      <c r="W13">
        <f t="shared" ca="1" si="38"/>
        <v>0.11450638789184786</v>
      </c>
      <c r="X13">
        <f t="shared" ca="1" si="39"/>
        <v>0.59657739183689174</v>
      </c>
      <c r="Y13">
        <f t="shared" ca="1" si="2"/>
        <v>1.2370937555378108</v>
      </c>
      <c r="Z13">
        <f t="shared" ca="1" si="3"/>
        <v>-2.2741757725651679E-3</v>
      </c>
      <c r="AA13">
        <f t="shared" ca="1" si="40"/>
        <v>0.23709375553781076</v>
      </c>
      <c r="AB13">
        <f t="shared" ca="1" si="41"/>
        <v>-104.25480668557984</v>
      </c>
      <c r="AC13">
        <f t="shared" ca="1" si="42"/>
        <v>-1.5136739154447876E-3</v>
      </c>
      <c r="AD13">
        <f t="shared" ca="1" si="43"/>
        <v>0.59506371792144697</v>
      </c>
      <c r="AE13">
        <f t="shared" ca="1" si="14"/>
        <v>0.1</v>
      </c>
      <c r="AF13">
        <f t="shared" ca="1" si="15"/>
        <v>0.59506371792144697</v>
      </c>
      <c r="AG13">
        <f t="shared" ca="1" si="44"/>
        <v>-1.7865437137406535</v>
      </c>
      <c r="AH13">
        <f t="shared" ca="1" si="45"/>
        <v>0.59845255845483014</v>
      </c>
      <c r="AI13">
        <f t="shared" ca="1" si="4"/>
        <v>1.9010501016325012</v>
      </c>
      <c r="AJ13">
        <f t="shared" ca="1" si="5"/>
        <v>-3.388840533383175E-3</v>
      </c>
      <c r="AK13">
        <f t="shared" ca="1" si="46"/>
        <v>0.90105010163250121</v>
      </c>
      <c r="AL13">
        <f t="shared" ca="1" si="47"/>
        <v>-265.88743045190074</v>
      </c>
      <c r="AM13">
        <f t="shared" ca="1" si="48"/>
        <v>-2.2578064147600902E-3</v>
      </c>
      <c r="AN13">
        <f t="shared" ca="1" si="49"/>
        <v>0.59619475204007</v>
      </c>
      <c r="AO13">
        <f t="shared" ca="1" si="16"/>
        <v>-2.2578064147600902E-3</v>
      </c>
      <c r="AP13">
        <f t="shared" ca="1" si="17"/>
        <v>0.59619475204007</v>
      </c>
      <c r="AQ13">
        <f t="shared" ca="1" si="50"/>
        <v>-2.9090305040750719</v>
      </c>
      <c r="AR13">
        <f t="shared" ca="1" si="51"/>
        <v>0.60214641215562081</v>
      </c>
      <c r="AS13">
        <f t="shared" ca="1" si="6"/>
        <v>1.1224867903344184</v>
      </c>
      <c r="AT13">
        <f t="shared" ca="1" si="7"/>
        <v>-5.9516601155508164E-3</v>
      </c>
      <c r="AU13">
        <f t="shared" ca="1" si="52"/>
        <v>0.12248679033441845</v>
      </c>
      <c r="AV13">
        <f t="shared" ca="1" si="53"/>
        <v>-20.58027305933993</v>
      </c>
      <c r="AW13">
        <f t="shared" ca="1" si="54"/>
        <v>-3.9342849013845457E-3</v>
      </c>
      <c r="AX13">
        <f t="shared" ca="1" si="55"/>
        <v>0.59821212725423623</v>
      </c>
      <c r="AY13">
        <f t="shared" ca="1" si="18"/>
        <v>-3.9342849013845457E-3</v>
      </c>
      <c r="AZ13">
        <f t="shared" ca="1" si="19"/>
        <v>0.59821212725423623</v>
      </c>
      <c r="BA13">
        <f t="shared" ca="1" si="56"/>
        <v>-4.3926736124412757</v>
      </c>
      <c r="BB13">
        <f t="shared" ca="1" si="57"/>
        <v>0.6074194891042205</v>
      </c>
      <c r="BC13">
        <f t="shared" ca="1" si="8"/>
        <v>1.4836431083662038</v>
      </c>
      <c r="BD13">
        <f t="shared" ca="1" si="9"/>
        <v>-9.2073618499842746E-3</v>
      </c>
      <c r="BE13">
        <f t="shared" ca="1" si="58"/>
        <v>0.48364310836620383</v>
      </c>
      <c r="BF13">
        <f t="shared" ca="1" si="59"/>
        <v>-52.527870224523632</v>
      </c>
      <c r="BG13">
        <f t="shared" ca="1" si="60"/>
        <v>-6.1184511304013915E-3</v>
      </c>
      <c r="BH13">
        <f t="shared" ca="1" si="61"/>
        <v>0.60130103797381906</v>
      </c>
      <c r="BI13">
        <f t="shared" ca="1" si="20"/>
        <v>-6.1184511304013915E-3</v>
      </c>
      <c r="BJ13">
        <f t="shared" ca="1" si="21"/>
        <v>0.60130103797381906</v>
      </c>
    </row>
    <row r="14" spans="1:62" x14ac:dyDescent="0.15">
      <c r="A14">
        <f t="shared" ca="1" si="22"/>
        <v>4.8996386868423114</v>
      </c>
      <c r="B14">
        <f t="shared" ca="1" si="23"/>
        <v>0.59480994033199053</v>
      </c>
      <c r="C14">
        <f t="shared" ca="1" si="24"/>
        <v>3.1266596625573908</v>
      </c>
      <c r="D14">
        <f t="shared" ca="1" si="25"/>
        <v>0.59342598354095477</v>
      </c>
      <c r="E14">
        <f t="shared" ca="1" si="26"/>
        <v>1.7729790242849206</v>
      </c>
      <c r="F14">
        <f t="shared" ca="1" si="27"/>
        <v>1.3839567910357564E-3</v>
      </c>
      <c r="G14">
        <f t="shared" ca="1" si="28"/>
        <v>0.7729790242849206</v>
      </c>
      <c r="H14">
        <f t="shared" ca="1" si="29"/>
        <v>558.52829314593077</v>
      </c>
      <c r="I14">
        <f t="shared" ca="1" si="30"/>
        <v>9.2291276867400272E-4</v>
      </c>
      <c r="J14">
        <f t="shared" ca="1" si="31"/>
        <v>0.59573285310066448</v>
      </c>
      <c r="K14">
        <f t="shared" ca="1" si="10"/>
        <v>9.2291276867400272E-4</v>
      </c>
      <c r="L14">
        <f t="shared" ca="1" si="11"/>
        <v>0.59573285310066448</v>
      </c>
      <c r="M14">
        <f t="shared" ca="1" si="32"/>
        <v>1.9459033594939852</v>
      </c>
      <c r="N14">
        <f t="shared" ca="1" si="33"/>
        <v>0.59430321606432657</v>
      </c>
      <c r="O14">
        <f t="shared" ca="1" si="0"/>
        <v>1.1807563030634056</v>
      </c>
      <c r="P14">
        <f t="shared" ca="1" si="1"/>
        <v>1.4296370363379163E-3</v>
      </c>
      <c r="Q14">
        <f t="shared" ca="1" si="34"/>
        <v>0.18075630306340562</v>
      </c>
      <c r="R14">
        <f t="shared" ca="1" si="35"/>
        <v>126.43510098648643</v>
      </c>
      <c r="S14">
        <f t="shared" ca="1" si="36"/>
        <v>9.5433949548410731E-4</v>
      </c>
      <c r="T14">
        <f t="shared" ca="1" si="37"/>
        <v>0.59525755555981064</v>
      </c>
      <c r="U14">
        <f t="shared" ca="1" si="12"/>
        <v>0.1</v>
      </c>
      <c r="V14">
        <f t="shared" ca="1" si="13"/>
        <v>0.59525755555981064</v>
      </c>
      <c r="W14">
        <f t="shared" ca="1" si="38"/>
        <v>0.70957010581329483</v>
      </c>
      <c r="X14">
        <f t="shared" ca="1" si="39"/>
        <v>0.59506371792144697</v>
      </c>
      <c r="Y14">
        <f t="shared" ca="1" si="2"/>
        <v>1.2363332536806904</v>
      </c>
      <c r="Z14">
        <f t="shared" ca="1" si="3"/>
        <v>1.9383763836366974E-4</v>
      </c>
      <c r="AA14">
        <f t="shared" ca="1" si="40"/>
        <v>0.23633325368069036</v>
      </c>
      <c r="AB14">
        <f t="shared" ca="1" si="41"/>
        <v>1219.2330430547868</v>
      </c>
      <c r="AC14">
        <f t="shared" ca="1" si="42"/>
        <v>1.2924274498314208E-4</v>
      </c>
      <c r="AD14">
        <f t="shared" ca="1" si="43"/>
        <v>0.59519296066643013</v>
      </c>
      <c r="AE14">
        <f t="shared" ca="1" si="14"/>
        <v>0.1</v>
      </c>
      <c r="AF14">
        <f t="shared" ca="1" si="15"/>
        <v>0.59519296066643013</v>
      </c>
      <c r="AG14">
        <f t="shared" ca="1" si="44"/>
        <v>-1.1903489617005834</v>
      </c>
      <c r="AH14">
        <f t="shared" ca="1" si="45"/>
        <v>0.59619475204007</v>
      </c>
      <c r="AI14">
        <f t="shared" ca="1" si="4"/>
        <v>1.8999190675138782</v>
      </c>
      <c r="AJ14">
        <f t="shared" ca="1" si="5"/>
        <v>-1.0017913736398709E-3</v>
      </c>
      <c r="AK14">
        <f t="shared" ca="1" si="46"/>
        <v>0.89991906751387818</v>
      </c>
      <c r="AL14">
        <f t="shared" ca="1" si="47"/>
        <v>-898.30985891218677</v>
      </c>
      <c r="AM14">
        <f t="shared" ca="1" si="48"/>
        <v>-6.6773689006179916E-4</v>
      </c>
      <c r="AN14">
        <f t="shared" ca="1" si="49"/>
        <v>0.59552701515000817</v>
      </c>
      <c r="AO14">
        <f t="shared" ca="1" si="16"/>
        <v>-6.6773689006179916E-4</v>
      </c>
      <c r="AP14">
        <f t="shared" ca="1" si="17"/>
        <v>0.59552701515000817</v>
      </c>
      <c r="AQ14">
        <f t="shared" ca="1" si="50"/>
        <v>-2.3108183768208357</v>
      </c>
      <c r="AR14">
        <f t="shared" ca="1" si="51"/>
        <v>0.59821212725423623</v>
      </c>
      <c r="AS14">
        <f t="shared" ca="1" si="6"/>
        <v>1.1204694151202523</v>
      </c>
      <c r="AT14">
        <f t="shared" ca="1" si="7"/>
        <v>-2.6851121042280601E-3</v>
      </c>
      <c r="AU14">
        <f t="shared" ca="1" si="52"/>
        <v>0.12046941512025233</v>
      </c>
      <c r="AV14">
        <f t="shared" ca="1" si="53"/>
        <v>-44.865692918577771</v>
      </c>
      <c r="AW14">
        <f t="shared" ca="1" si="54"/>
        <v>-1.7832991331144358E-3</v>
      </c>
      <c r="AX14">
        <f t="shared" ca="1" si="55"/>
        <v>0.59642882812112175</v>
      </c>
      <c r="AY14">
        <f t="shared" ca="1" si="18"/>
        <v>-1.7832991331144358E-3</v>
      </c>
      <c r="AZ14">
        <f t="shared" ca="1" si="19"/>
        <v>0.59642882812112175</v>
      </c>
      <c r="BA14">
        <f t="shared" ca="1" si="56"/>
        <v>-3.7913725744674567</v>
      </c>
      <c r="BB14">
        <f t="shared" ca="1" si="57"/>
        <v>0.60130103797381906</v>
      </c>
      <c r="BC14">
        <f t="shared" ca="1" si="8"/>
        <v>1.480554197646621</v>
      </c>
      <c r="BD14">
        <f t="shared" ca="1" si="9"/>
        <v>-4.8722098526973179E-3</v>
      </c>
      <c r="BE14">
        <f t="shared" ca="1" si="58"/>
        <v>0.480554197646621</v>
      </c>
      <c r="BF14">
        <f t="shared" ca="1" si="59"/>
        <v>-98.631670674156211</v>
      </c>
      <c r="BG14">
        <f t="shared" ca="1" si="60"/>
        <v>-3.2426044636198197E-3</v>
      </c>
      <c r="BH14">
        <f t="shared" ca="1" si="61"/>
        <v>0.59805843351019927</v>
      </c>
      <c r="BI14">
        <f t="shared" ca="1" si="20"/>
        <v>-3.2426044636198197E-3</v>
      </c>
      <c r="BJ14">
        <f t="shared" ca="1" si="21"/>
        <v>0.59805843351019927</v>
      </c>
    </row>
    <row r="15" spans="1:62" x14ac:dyDescent="0.15">
      <c r="A15">
        <f t="shared" ca="1" si="22"/>
        <v>5.494448627174302</v>
      </c>
      <c r="B15">
        <f t="shared" ca="1" si="23"/>
        <v>0.59480994033199053</v>
      </c>
      <c r="C15">
        <f t="shared" ca="1" si="24"/>
        <v>3.7223925156580551</v>
      </c>
      <c r="D15">
        <f t="shared" ca="1" si="25"/>
        <v>0.59573285310066448</v>
      </c>
      <c r="E15">
        <f t="shared" ca="1" si="26"/>
        <v>1.772056111516247</v>
      </c>
      <c r="F15">
        <f t="shared" ca="1" si="27"/>
        <v>-9.2291276867395577E-4</v>
      </c>
      <c r="G15">
        <f t="shared" ca="1" si="28"/>
        <v>0.77205611151624698</v>
      </c>
      <c r="H15">
        <f t="shared" ca="1" si="29"/>
        <v>-836.54288652386924</v>
      </c>
      <c r="I15">
        <f t="shared" ca="1" si="30"/>
        <v>-6.1515247396943422E-4</v>
      </c>
      <c r="J15">
        <f t="shared" ca="1" si="31"/>
        <v>0.59419478785802105</v>
      </c>
      <c r="K15">
        <f t="shared" ca="1" si="10"/>
        <v>-6.1515247396943422E-4</v>
      </c>
      <c r="L15">
        <f t="shared" ca="1" si="11"/>
        <v>0.59419478785802105</v>
      </c>
      <c r="M15">
        <f t="shared" ca="1" si="32"/>
        <v>2.5411609150537959</v>
      </c>
      <c r="N15">
        <f t="shared" ca="1" si="33"/>
        <v>0.59525755555981064</v>
      </c>
      <c r="O15">
        <f t="shared" ca="1" si="0"/>
        <v>1.1812316006042591</v>
      </c>
      <c r="P15">
        <f t="shared" ca="1" si="1"/>
        <v>-1.0627677017895909E-3</v>
      </c>
      <c r="Q15">
        <f t="shared" ca="1" si="34"/>
        <v>0.18123160060425914</v>
      </c>
      <c r="R15">
        <f t="shared" ca="1" si="35"/>
        <v>-170.52795290926122</v>
      </c>
      <c r="S15">
        <f t="shared" ca="1" si="36"/>
        <v>-7.0781593175127204E-4</v>
      </c>
      <c r="T15">
        <f t="shared" ca="1" si="37"/>
        <v>0.59454973962805935</v>
      </c>
      <c r="U15">
        <f t="shared" ca="1" si="12"/>
        <v>0.1</v>
      </c>
      <c r="V15">
        <f t="shared" ca="1" si="13"/>
        <v>0.59454973962805935</v>
      </c>
      <c r="W15">
        <f t="shared" ca="1" si="38"/>
        <v>1.304763066479725</v>
      </c>
      <c r="X15">
        <f t="shared" ca="1" si="39"/>
        <v>0.59519296066643013</v>
      </c>
      <c r="Y15">
        <f t="shared" ca="1" si="2"/>
        <v>1.236397848574071</v>
      </c>
      <c r="Z15">
        <f t="shared" ca="1" si="3"/>
        <v>-6.4322103837077815E-4</v>
      </c>
      <c r="AA15">
        <f t="shared" ca="1" si="40"/>
        <v>0.23639784857407098</v>
      </c>
      <c r="AB15">
        <f t="shared" ca="1" si="41"/>
        <v>-367.52194731199364</v>
      </c>
      <c r="AC15">
        <f t="shared" ca="1" si="42"/>
        <v>-4.2861912178056728E-4</v>
      </c>
      <c r="AD15">
        <f t="shared" ca="1" si="43"/>
        <v>0.59476434154464952</v>
      </c>
      <c r="AE15">
        <f t="shared" ca="1" si="14"/>
        <v>0.1</v>
      </c>
      <c r="AF15">
        <f t="shared" ca="1" si="15"/>
        <v>0.59476434154464952</v>
      </c>
      <c r="AG15">
        <f t="shared" ca="1" si="44"/>
        <v>-0.59482194655057519</v>
      </c>
      <c r="AH15">
        <f t="shared" ca="1" si="45"/>
        <v>0.59552701515000817</v>
      </c>
      <c r="AI15">
        <f t="shared" ca="1" si="4"/>
        <v>1.8995850130303</v>
      </c>
      <c r="AJ15">
        <f t="shared" ca="1" si="5"/>
        <v>-7.6267360535864359E-4</v>
      </c>
      <c r="AK15">
        <f t="shared" ca="1" si="46"/>
        <v>0.89958501303030003</v>
      </c>
      <c r="AL15">
        <f t="shared" ca="1" si="47"/>
        <v>-1179.5150726466725</v>
      </c>
      <c r="AM15">
        <f t="shared" ca="1" si="48"/>
        <v>-5.0837717507954577E-4</v>
      </c>
      <c r="AN15">
        <f t="shared" ca="1" si="49"/>
        <v>0.5950186379749286</v>
      </c>
      <c r="AO15">
        <f t="shared" ca="1" si="16"/>
        <v>-5.0837717507954577E-4</v>
      </c>
      <c r="AP15">
        <f t="shared" ca="1" si="17"/>
        <v>0.5950186379749286</v>
      </c>
      <c r="AQ15">
        <f t="shared" ca="1" si="50"/>
        <v>-1.7143895486997138</v>
      </c>
      <c r="AR15">
        <f t="shared" ca="1" si="51"/>
        <v>0.59642882812112175</v>
      </c>
      <c r="AS15">
        <f t="shared" ca="1" si="6"/>
        <v>1.1195676021491385</v>
      </c>
      <c r="AT15">
        <f t="shared" ca="1" si="7"/>
        <v>-1.4101901461931465E-3</v>
      </c>
      <c r="AU15">
        <f t="shared" ca="1" si="52"/>
        <v>0.11956760214913853</v>
      </c>
      <c r="AV15">
        <f t="shared" ca="1" si="53"/>
        <v>-84.788283673598983</v>
      </c>
      <c r="AW15">
        <f t="shared" ca="1" si="54"/>
        <v>-9.3826043232359511E-4</v>
      </c>
      <c r="AX15">
        <f t="shared" ca="1" si="55"/>
        <v>0.59549056768879816</v>
      </c>
      <c r="AY15">
        <f t="shared" ca="1" si="18"/>
        <v>-9.3826043232359511E-4</v>
      </c>
      <c r="AZ15">
        <f t="shared" ca="1" si="19"/>
        <v>0.59549056768879816</v>
      </c>
      <c r="BA15">
        <f t="shared" ca="1" si="56"/>
        <v>-3.1933141409572574</v>
      </c>
      <c r="BB15">
        <f t="shared" ca="1" si="57"/>
        <v>0.59805843351019927</v>
      </c>
      <c r="BC15">
        <f t="shared" ca="1" si="8"/>
        <v>1.4789245922575436</v>
      </c>
      <c r="BD15">
        <f t="shared" ca="1" si="9"/>
        <v>-2.5678658214011163E-3</v>
      </c>
      <c r="BE15">
        <f t="shared" ca="1" si="58"/>
        <v>0.47892459225754358</v>
      </c>
      <c r="BF15">
        <f t="shared" ca="1" si="59"/>
        <v>-186.50686039203785</v>
      </c>
      <c r="BG15">
        <f t="shared" ca="1" si="60"/>
        <v>-1.710373880370257E-3</v>
      </c>
      <c r="BH15">
        <f t="shared" ca="1" si="61"/>
        <v>0.59634805962982906</v>
      </c>
      <c r="BI15">
        <f t="shared" ca="1" si="20"/>
        <v>-1.710373880370257E-3</v>
      </c>
      <c r="BJ15">
        <f t="shared" ca="1" si="21"/>
        <v>0.59634805962982906</v>
      </c>
    </row>
    <row r="16" spans="1:62" x14ac:dyDescent="0.15">
      <c r="A16">
        <f t="shared" ca="1" si="22"/>
        <v>6.0892585675062927</v>
      </c>
      <c r="B16">
        <f t="shared" ca="1" si="23"/>
        <v>0.59480994033199053</v>
      </c>
      <c r="C16">
        <f t="shared" ca="1" si="24"/>
        <v>4.3165873035160764</v>
      </c>
      <c r="D16">
        <f t="shared" ca="1" si="25"/>
        <v>0.59419478785802105</v>
      </c>
      <c r="E16">
        <f t="shared" ca="1" si="26"/>
        <v>1.7726712639902162</v>
      </c>
      <c r="F16">
        <f t="shared" ca="1" si="27"/>
        <v>6.1515247396948247E-4</v>
      </c>
      <c r="G16">
        <f t="shared" ca="1" si="28"/>
        <v>0.77267126399021624</v>
      </c>
      <c r="H16">
        <f t="shared" ca="1" si="29"/>
        <v>1256.0646289923695</v>
      </c>
      <c r="I16">
        <f t="shared" ca="1" si="30"/>
        <v>4.1015602944322499E-4</v>
      </c>
      <c r="J16">
        <f t="shared" ca="1" si="31"/>
        <v>0.5952200963614338</v>
      </c>
      <c r="K16">
        <f t="shared" ca="1" si="10"/>
        <v>4.1015602944322499E-4</v>
      </c>
      <c r="L16">
        <f t="shared" ca="1" si="11"/>
        <v>0.5952200963614338</v>
      </c>
      <c r="M16">
        <f t="shared" ca="1" si="32"/>
        <v>3.1357106546818554</v>
      </c>
      <c r="N16">
        <f t="shared" ca="1" si="33"/>
        <v>0.59454973962805935</v>
      </c>
      <c r="O16">
        <f t="shared" ca="1" si="0"/>
        <v>1.1808766488342211</v>
      </c>
      <c r="P16">
        <f t="shared" ca="1" si="1"/>
        <v>6.7035673337445534E-4</v>
      </c>
      <c r="Q16">
        <f t="shared" ca="1" si="34"/>
        <v>0.18087664883422105</v>
      </c>
      <c r="R16">
        <f t="shared" ca="1" si="35"/>
        <v>269.82148433673592</v>
      </c>
      <c r="S16">
        <f t="shared" ca="1" si="36"/>
        <v>4.4717968845691124E-4</v>
      </c>
      <c r="T16">
        <f t="shared" ca="1" si="37"/>
        <v>0.59499691931651622</v>
      </c>
      <c r="U16">
        <f t="shared" ca="1" si="12"/>
        <v>0.1</v>
      </c>
      <c r="V16">
        <f t="shared" ca="1" si="13"/>
        <v>0.59499691931651622</v>
      </c>
      <c r="W16">
        <f t="shared" ca="1" si="38"/>
        <v>1.8995274080243745</v>
      </c>
      <c r="X16">
        <f t="shared" ca="1" si="39"/>
        <v>0.59476434154464952</v>
      </c>
      <c r="Y16">
        <f t="shared" ca="1" si="2"/>
        <v>1.2361832466574809</v>
      </c>
      <c r="Z16">
        <f t="shared" ca="1" si="3"/>
        <v>2.3257777186669326E-4</v>
      </c>
      <c r="AA16">
        <f t="shared" ca="1" si="40"/>
        <v>0.23618324665748092</v>
      </c>
      <c r="AB16">
        <f t="shared" ca="1" si="41"/>
        <v>1015.5022329169711</v>
      </c>
      <c r="AC16">
        <f t="shared" ca="1" si="42"/>
        <v>1.5507727452760276E-4</v>
      </c>
      <c r="AD16">
        <f t="shared" ca="1" si="43"/>
        <v>0.59491941881917709</v>
      </c>
      <c r="AE16">
        <f t="shared" ca="1" si="14"/>
        <v>0.1</v>
      </c>
      <c r="AF16">
        <f t="shared" ca="1" si="15"/>
        <v>0.59491941881917709</v>
      </c>
      <c r="AG16">
        <f t="shared" ca="1" si="44"/>
        <v>1.9669142435341236E-4</v>
      </c>
      <c r="AH16">
        <f t="shared" ca="1" si="45"/>
        <v>0.5950186379749286</v>
      </c>
      <c r="AI16">
        <f t="shared" ca="1" si="4"/>
        <v>1.8993307166000211</v>
      </c>
      <c r="AJ16">
        <f t="shared" ca="1" si="5"/>
        <v>-9.9219155751506527E-5</v>
      </c>
      <c r="AK16">
        <f t="shared" ca="1" si="46"/>
        <v>0.89933071660002106</v>
      </c>
      <c r="AL16">
        <f t="shared" ca="1" si="47"/>
        <v>-9064.0835410088221</v>
      </c>
      <c r="AM16">
        <f t="shared" ca="1" si="48"/>
        <v>-6.6144887454960927E-5</v>
      </c>
      <c r="AN16">
        <f t="shared" ca="1" si="49"/>
        <v>0.59495249308747367</v>
      </c>
      <c r="AO16">
        <f t="shared" ca="1" si="16"/>
        <v>-6.6144887454960927E-5</v>
      </c>
      <c r="AP16">
        <f t="shared" ca="1" si="17"/>
        <v>0.59495249308747367</v>
      </c>
      <c r="AQ16">
        <f t="shared" ca="1" si="50"/>
        <v>-1.1188989810109158</v>
      </c>
      <c r="AR16">
        <f t="shared" ca="1" si="51"/>
        <v>0.59549056768879816</v>
      </c>
      <c r="AS16">
        <f t="shared" ca="1" si="6"/>
        <v>1.1190956724352692</v>
      </c>
      <c r="AT16">
        <f t="shared" ca="1" si="7"/>
        <v>-5.380746013244897E-4</v>
      </c>
      <c r="AU16">
        <f t="shared" ca="1" si="52"/>
        <v>0.1190956724352692</v>
      </c>
      <c r="AV16">
        <f t="shared" ca="1" si="53"/>
        <v>-221.33672940910233</v>
      </c>
      <c r="AW16">
        <f t="shared" ca="1" si="54"/>
        <v>-3.5844526643391973E-4</v>
      </c>
      <c r="AX16">
        <f t="shared" ca="1" si="55"/>
        <v>0.59513212242236424</v>
      </c>
      <c r="AY16">
        <f t="shared" ca="1" si="18"/>
        <v>-3.5844526643391973E-4</v>
      </c>
      <c r="AZ16">
        <f t="shared" ca="1" si="19"/>
        <v>0.59513212242236424</v>
      </c>
      <c r="BA16">
        <f t="shared" ca="1" si="56"/>
        <v>-2.5969660813274285</v>
      </c>
      <c r="BB16">
        <f t="shared" ca="1" si="57"/>
        <v>0.59634805962982906</v>
      </c>
      <c r="BC16">
        <f t="shared" ca="1" si="8"/>
        <v>1.4780671003165127</v>
      </c>
      <c r="BD16">
        <f t="shared" ca="1" si="9"/>
        <v>-1.2159372074648234E-3</v>
      </c>
      <c r="BE16">
        <f t="shared" ca="1" si="58"/>
        <v>0.47806710031651267</v>
      </c>
      <c r="BF16">
        <f t="shared" ca="1" si="59"/>
        <v>-393.16758906758184</v>
      </c>
      <c r="BG16">
        <f t="shared" ca="1" si="60"/>
        <v>-8.1028044520630685E-4</v>
      </c>
      <c r="BH16">
        <f t="shared" ca="1" si="61"/>
        <v>0.59553777918462281</v>
      </c>
      <c r="BI16">
        <f t="shared" ca="1" si="20"/>
        <v>-8.1028044520630685E-4</v>
      </c>
      <c r="BJ16">
        <f t="shared" ca="1" si="21"/>
        <v>0.59553777918462281</v>
      </c>
    </row>
    <row r="17" spans="1:62" x14ac:dyDescent="0.15">
      <c r="A17">
        <f t="shared" ca="1" si="22"/>
        <v>6.6840685078382833</v>
      </c>
      <c r="B17">
        <f t="shared" ca="1" si="23"/>
        <v>0.59480994033199053</v>
      </c>
      <c r="C17">
        <f t="shared" ca="1" si="24"/>
        <v>4.9118073998775102</v>
      </c>
      <c r="D17">
        <f t="shared" ca="1" si="25"/>
        <v>0.5952200963614338</v>
      </c>
      <c r="E17">
        <f t="shared" ca="1" si="26"/>
        <v>1.7722611079607731</v>
      </c>
      <c r="F17">
        <f t="shared" ca="1" si="27"/>
        <v>-4.10156029443276E-4</v>
      </c>
      <c r="G17">
        <f t="shared" ca="1" si="28"/>
        <v>0.77226110796077307</v>
      </c>
      <c r="H17">
        <f t="shared" ca="1" si="29"/>
        <v>-1882.8471423643321</v>
      </c>
      <c r="I17">
        <f t="shared" ca="1" si="30"/>
        <v>-2.734131380005606E-4</v>
      </c>
      <c r="J17">
        <f t="shared" ca="1" si="31"/>
        <v>0.59453652719398997</v>
      </c>
      <c r="K17">
        <f t="shared" ca="1" si="10"/>
        <v>-2.734131380005606E-4</v>
      </c>
      <c r="L17">
        <f t="shared" ca="1" si="11"/>
        <v>0.59453652719398997</v>
      </c>
      <c r="M17">
        <f t="shared" ca="1" si="32"/>
        <v>3.7307075739983717</v>
      </c>
      <c r="N17">
        <f t="shared" ca="1" si="33"/>
        <v>0.59499691931651622</v>
      </c>
      <c r="O17">
        <f t="shared" ca="1" si="0"/>
        <v>1.1810998258791385</v>
      </c>
      <c r="P17">
        <f t="shared" ca="1" si="1"/>
        <v>-4.6039212252624306E-4</v>
      </c>
      <c r="Q17">
        <f t="shared" ca="1" si="34"/>
        <v>0.18109982587913853</v>
      </c>
      <c r="R17">
        <f t="shared" ca="1" si="35"/>
        <v>-393.35995777993696</v>
      </c>
      <c r="S17">
        <f t="shared" ca="1" si="36"/>
        <v>-3.0679776012864258E-4</v>
      </c>
      <c r="T17">
        <f t="shared" ca="1" si="37"/>
        <v>0.59469012155638756</v>
      </c>
      <c r="U17">
        <f t="shared" ca="1" si="12"/>
        <v>0.1</v>
      </c>
      <c r="V17">
        <f t="shared" ca="1" si="13"/>
        <v>0.59469012155638756</v>
      </c>
      <c r="W17">
        <f t="shared" ca="1" si="38"/>
        <v>2.4944468268435518</v>
      </c>
      <c r="X17">
        <f t="shared" ca="1" si="39"/>
        <v>0.59491941881917709</v>
      </c>
      <c r="Y17">
        <f t="shared" ca="1" si="2"/>
        <v>1.2362607471548199</v>
      </c>
      <c r="Z17">
        <f t="shared" ca="1" si="3"/>
        <v>-2.2929726278952955E-4</v>
      </c>
      <c r="AA17">
        <f t="shared" ca="1" si="40"/>
        <v>0.23626074715481993</v>
      </c>
      <c r="AB17">
        <f t="shared" ca="1" si="41"/>
        <v>-1030.368807200643</v>
      </c>
      <c r="AC17">
        <f t="shared" ca="1" si="42"/>
        <v>-1.528400952877712E-4</v>
      </c>
      <c r="AD17">
        <f t="shared" ca="1" si="43"/>
        <v>0.59476657872388927</v>
      </c>
      <c r="AE17">
        <f t="shared" ca="1" si="14"/>
        <v>0.1</v>
      </c>
      <c r="AF17">
        <f t="shared" ca="1" si="15"/>
        <v>0.59476657872388927</v>
      </c>
      <c r="AG17">
        <f t="shared" ca="1" si="44"/>
        <v>0.59514918451182708</v>
      </c>
      <c r="AH17">
        <f t="shared" ca="1" si="45"/>
        <v>0.59495249308747367</v>
      </c>
      <c r="AI17">
        <f t="shared" ca="1" si="4"/>
        <v>1.8992976423317247</v>
      </c>
      <c r="AJ17">
        <f t="shared" ca="1" si="5"/>
        <v>-1.8591436358439406E-4</v>
      </c>
      <c r="AK17">
        <f t="shared" ca="1" si="46"/>
        <v>0.89929764233172471</v>
      </c>
      <c r="AL17">
        <f t="shared" ca="1" si="47"/>
        <v>-4837.1606421012066</v>
      </c>
      <c r="AM17">
        <f t="shared" ca="1" si="48"/>
        <v>-1.2393863780864225E-4</v>
      </c>
      <c r="AN17">
        <f t="shared" ca="1" si="49"/>
        <v>0.59482855444966498</v>
      </c>
      <c r="AO17">
        <f t="shared" ca="1" si="16"/>
        <v>0.1</v>
      </c>
      <c r="AP17">
        <f t="shared" ca="1" si="17"/>
        <v>0.59482855444966498</v>
      </c>
      <c r="AQ17">
        <f t="shared" ca="1" si="50"/>
        <v>-0.52376685858855154</v>
      </c>
      <c r="AR17">
        <f t="shared" ca="1" si="51"/>
        <v>0.59513212242236424</v>
      </c>
      <c r="AS17">
        <f t="shared" ca="1" si="6"/>
        <v>1.1189160431003786</v>
      </c>
      <c r="AT17">
        <f t="shared" ca="1" si="7"/>
        <v>-3.0356797269925906E-4</v>
      </c>
      <c r="AU17">
        <f t="shared" ca="1" si="52"/>
        <v>0.11891604310037862</v>
      </c>
      <c r="AV17">
        <f t="shared" ca="1" si="53"/>
        <v>-391.72789554511814</v>
      </c>
      <c r="AW17">
        <f t="shared" ca="1" si="54"/>
        <v>-2.0229235978885392E-4</v>
      </c>
      <c r="AX17">
        <f t="shared" ca="1" si="55"/>
        <v>0.59492983006257538</v>
      </c>
      <c r="AY17">
        <f t="shared" ca="1" si="18"/>
        <v>-2.0229235978885392E-4</v>
      </c>
      <c r="AZ17">
        <f t="shared" ca="1" si="19"/>
        <v>0.59492983006257538</v>
      </c>
      <c r="BA17">
        <f t="shared" ca="1" si="56"/>
        <v>-2.0014283021428056</v>
      </c>
      <c r="BB17">
        <f t="shared" ca="1" si="57"/>
        <v>0.59553777918462281</v>
      </c>
      <c r="BC17">
        <f t="shared" ca="1" si="8"/>
        <v>1.4776614435542541</v>
      </c>
      <c r="BD17">
        <f t="shared" ca="1" si="9"/>
        <v>-6.0794912204742424E-4</v>
      </c>
      <c r="BE17">
        <f t="shared" ca="1" si="58"/>
        <v>0.47766144355425411</v>
      </c>
      <c r="BF17">
        <f t="shared" ca="1" si="59"/>
        <v>-785.69312172967204</v>
      </c>
      <c r="BG17">
        <f t="shared" ca="1" si="60"/>
        <v>-4.0521334849455019E-4</v>
      </c>
      <c r="BH17">
        <f t="shared" ca="1" si="61"/>
        <v>0.59513256583612828</v>
      </c>
      <c r="BI17">
        <f t="shared" ca="1" si="20"/>
        <v>-4.0521334849455019E-4</v>
      </c>
      <c r="BJ17">
        <f t="shared" ca="1" si="21"/>
        <v>0.59513256583612828</v>
      </c>
    </row>
    <row r="18" spans="1:62" x14ac:dyDescent="0.15">
      <c r="A18">
        <f t="shared" ca="1" si="22"/>
        <v>7.278878448170274</v>
      </c>
      <c r="B18">
        <f t="shared" ca="1" si="23"/>
        <v>0.59480994033199053</v>
      </c>
      <c r="C18">
        <f t="shared" ca="1" si="24"/>
        <v>5.5063439270714998</v>
      </c>
      <c r="D18">
        <f t="shared" ca="1" si="25"/>
        <v>0.59453652719398997</v>
      </c>
      <c r="E18">
        <f t="shared" ca="1" si="26"/>
        <v>1.7725345210987742</v>
      </c>
      <c r="F18">
        <f t="shared" ca="1" si="27"/>
        <v>2.7341313800055556E-4</v>
      </c>
      <c r="G18">
        <f t="shared" ca="1" si="28"/>
        <v>0.77253452109877419</v>
      </c>
      <c r="H18">
        <f t="shared" ca="1" si="29"/>
        <v>2825.5208463947497</v>
      </c>
      <c r="I18">
        <f t="shared" ca="1" si="30"/>
        <v>1.8228617389372972E-4</v>
      </c>
      <c r="J18">
        <f t="shared" ca="1" si="31"/>
        <v>0.59499222650588424</v>
      </c>
      <c r="K18">
        <f t="shared" ca="1" si="10"/>
        <v>1.8228617389372972E-4</v>
      </c>
      <c r="L18">
        <f t="shared" ca="1" si="11"/>
        <v>0.59499222650588424</v>
      </c>
      <c r="M18">
        <f t="shared" ca="1" si="32"/>
        <v>4.3253976955547593</v>
      </c>
      <c r="N18">
        <f t="shared" ca="1" si="33"/>
        <v>0.59469012155638756</v>
      </c>
      <c r="O18">
        <f t="shared" ca="1" si="0"/>
        <v>1.1809462315167405</v>
      </c>
      <c r="P18">
        <f t="shared" ca="1" si="1"/>
        <v>3.0210494949667321E-4</v>
      </c>
      <c r="Q18">
        <f t="shared" ca="1" si="34"/>
        <v>0.1809462315167405</v>
      </c>
      <c r="R18">
        <f t="shared" ca="1" si="35"/>
        <v>598.95156242295559</v>
      </c>
      <c r="S18">
        <f t="shared" ca="1" si="36"/>
        <v>2.0145926508946741E-4</v>
      </c>
      <c r="T18">
        <f t="shared" ca="1" si="37"/>
        <v>0.59489158082147708</v>
      </c>
      <c r="U18">
        <f t="shared" ca="1" si="12"/>
        <v>0.1</v>
      </c>
      <c r="V18">
        <f t="shared" ca="1" si="13"/>
        <v>0.59489158082147708</v>
      </c>
      <c r="W18">
        <f t="shared" ca="1" si="38"/>
        <v>3.089213405567441</v>
      </c>
      <c r="X18">
        <f t="shared" ca="1" si="39"/>
        <v>0.59476657872388927</v>
      </c>
      <c r="Y18">
        <f t="shared" ca="1" si="2"/>
        <v>1.2361842899873183</v>
      </c>
      <c r="Z18">
        <f t="shared" ca="1" si="3"/>
        <v>1.2500209758781189E-4</v>
      </c>
      <c r="AA18">
        <f t="shared" ca="1" si="40"/>
        <v>0.23618428998731833</v>
      </c>
      <c r="AB18">
        <f t="shared" ca="1" si="41"/>
        <v>1889.4426137241642</v>
      </c>
      <c r="AC18">
        <f t="shared" ca="1" si="42"/>
        <v>8.3342079394195512E-5</v>
      </c>
      <c r="AD18">
        <f t="shared" ca="1" si="43"/>
        <v>0.59484992080328347</v>
      </c>
      <c r="AE18">
        <f t="shared" ca="1" si="14"/>
        <v>0.1</v>
      </c>
      <c r="AF18">
        <f t="shared" ca="1" si="15"/>
        <v>0.59484992080328347</v>
      </c>
      <c r="AG18">
        <f t="shared" ca="1" si="44"/>
        <v>1.1899777389614921</v>
      </c>
      <c r="AH18">
        <f t="shared" ca="1" si="45"/>
        <v>0.59482855444966498</v>
      </c>
      <c r="AI18">
        <f t="shared" ca="1" si="4"/>
        <v>1.8992356666059489</v>
      </c>
      <c r="AJ18">
        <f t="shared" ca="1" si="5"/>
        <v>2.1366353618490486E-5</v>
      </c>
      <c r="AK18">
        <f t="shared" ca="1" si="46"/>
        <v>0.89923566660594889</v>
      </c>
      <c r="AL18">
        <f t="shared" ca="1" si="47"/>
        <v>42086.529253533859</v>
      </c>
      <c r="AM18">
        <f t="shared" ca="1" si="48"/>
        <v>1.4244292153074452E-5</v>
      </c>
      <c r="AN18">
        <f t="shared" ca="1" si="49"/>
        <v>0.594842798741818</v>
      </c>
      <c r="AO18">
        <f t="shared" ca="1" si="16"/>
        <v>0.1</v>
      </c>
      <c r="AP18">
        <f t="shared" ca="1" si="17"/>
        <v>0.594842798741818</v>
      </c>
      <c r="AQ18">
        <f t="shared" ca="1" si="50"/>
        <v>7.1162971474023839E-2</v>
      </c>
      <c r="AR18">
        <f t="shared" ca="1" si="51"/>
        <v>0.59492983006257538</v>
      </c>
      <c r="AS18">
        <f t="shared" ca="1" si="6"/>
        <v>1.1188147674874682</v>
      </c>
      <c r="AT18">
        <f t="shared" ca="1" si="7"/>
        <v>-8.7031320757380293E-5</v>
      </c>
      <c r="AU18">
        <f t="shared" ca="1" si="52"/>
        <v>0.11881476748746822</v>
      </c>
      <c r="AV18">
        <f t="shared" ca="1" si="53"/>
        <v>-1365.1955003497137</v>
      </c>
      <c r="AW18">
        <f t="shared" ca="1" si="54"/>
        <v>-5.8013792836422357E-5</v>
      </c>
      <c r="AX18">
        <f t="shared" ca="1" si="55"/>
        <v>0.59487181626973895</v>
      </c>
      <c r="AY18">
        <f t="shared" ca="1" si="18"/>
        <v>-5.8013792836422357E-5</v>
      </c>
      <c r="AZ18">
        <f t="shared" ca="1" si="19"/>
        <v>0.59487181626973895</v>
      </c>
      <c r="BA18">
        <f t="shared" ca="1" si="56"/>
        <v>-1.4062957363066775</v>
      </c>
      <c r="BB18">
        <f t="shared" ca="1" si="57"/>
        <v>0.59513256583612828</v>
      </c>
      <c r="BC18">
        <f t="shared" ca="1" si="8"/>
        <v>1.4774587077807013</v>
      </c>
      <c r="BD18">
        <f t="shared" ca="1" si="9"/>
        <v>-2.6074956638932889E-4</v>
      </c>
      <c r="BE18">
        <f t="shared" ca="1" si="58"/>
        <v>0.47745870778070132</v>
      </c>
      <c r="BF18">
        <f t="shared" ca="1" si="59"/>
        <v>-1831.1006779117743</v>
      </c>
      <c r="BG18">
        <f t="shared" ca="1" si="60"/>
        <v>-1.7381721478298509E-4</v>
      </c>
      <c r="BH18">
        <f t="shared" ca="1" si="61"/>
        <v>0.59495874862134535</v>
      </c>
      <c r="BI18">
        <f t="shared" ca="1" si="20"/>
        <v>-1.7381721478298509E-4</v>
      </c>
      <c r="BJ18">
        <f t="shared" ca="1" si="21"/>
        <v>0.59495874862134535</v>
      </c>
    </row>
    <row r="19" spans="1:62" x14ac:dyDescent="0.15">
      <c r="A19">
        <f t="shared" ca="1" si="22"/>
        <v>7.8736883885022646</v>
      </c>
      <c r="B19">
        <f t="shared" ca="1" si="23"/>
        <v>0.59480994033199053</v>
      </c>
      <c r="C19">
        <f t="shared" ca="1" si="24"/>
        <v>6.1013361535773836</v>
      </c>
      <c r="D19">
        <f t="shared" ca="1" si="25"/>
        <v>0.59499222650588424</v>
      </c>
      <c r="E19">
        <f t="shared" ca="1" si="26"/>
        <v>1.772352234924881</v>
      </c>
      <c r="F19">
        <f t="shared" ca="1" si="27"/>
        <v>-1.8228617389370871E-4</v>
      </c>
      <c r="G19">
        <f t="shared" ca="1" si="28"/>
        <v>0.77235223492488103</v>
      </c>
      <c r="H19">
        <f t="shared" ca="1" si="29"/>
        <v>-4237.0313580405746</v>
      </c>
      <c r="I19">
        <f t="shared" ca="1" si="30"/>
        <v>-1.215193347505438E-4</v>
      </c>
      <c r="J19">
        <f t="shared" ca="1" si="31"/>
        <v>0.59468842099723995</v>
      </c>
      <c r="K19">
        <f t="shared" ca="1" si="10"/>
        <v>-1.215193347505438E-4</v>
      </c>
      <c r="L19">
        <f t="shared" ca="1" si="11"/>
        <v>0.59468842099723995</v>
      </c>
      <c r="M19">
        <f t="shared" ca="1" si="32"/>
        <v>4.920289276376236</v>
      </c>
      <c r="N19">
        <f t="shared" ca="1" si="33"/>
        <v>0.59489158082147708</v>
      </c>
      <c r="O19">
        <f t="shared" ca="1" si="0"/>
        <v>1.1810468772011475</v>
      </c>
      <c r="P19">
        <f t="shared" ca="1" si="1"/>
        <v>-2.031598242371313E-4</v>
      </c>
      <c r="Q19">
        <f t="shared" ca="1" si="34"/>
        <v>0.18104687720114754</v>
      </c>
      <c r="R19">
        <f t="shared" ca="1" si="35"/>
        <v>-891.15492140723063</v>
      </c>
      <c r="S19">
        <f t="shared" ca="1" si="36"/>
        <v>-1.3541452871214312E-4</v>
      </c>
      <c r="T19">
        <f t="shared" ca="1" si="37"/>
        <v>0.59475616629276495</v>
      </c>
      <c r="U19">
        <f t="shared" ca="1" si="12"/>
        <v>0.1</v>
      </c>
      <c r="V19">
        <f t="shared" ca="1" si="13"/>
        <v>0.59475616629276495</v>
      </c>
      <c r="W19">
        <f t="shared" ca="1" si="38"/>
        <v>3.6840633263707243</v>
      </c>
      <c r="X19">
        <f t="shared" ca="1" si="39"/>
        <v>0.59484992080328347</v>
      </c>
      <c r="Y19">
        <f t="shared" ca="1" si="2"/>
        <v>1.2362259500055117</v>
      </c>
      <c r="Z19">
        <f t="shared" ca="1" si="3"/>
        <v>-9.3754510518517797E-5</v>
      </c>
      <c r="AA19">
        <f t="shared" ca="1" si="40"/>
        <v>0.23622595000551172</v>
      </c>
      <c r="AB19">
        <f t="shared" ca="1" si="41"/>
        <v>-2519.6222421624598</v>
      </c>
      <c r="AC19">
        <f t="shared" ca="1" si="42"/>
        <v>-6.249887122796134E-5</v>
      </c>
      <c r="AD19">
        <f t="shared" ca="1" si="43"/>
        <v>0.59478742193205547</v>
      </c>
      <c r="AE19">
        <f t="shared" ca="1" si="14"/>
        <v>0.1</v>
      </c>
      <c r="AF19">
        <f t="shared" ca="1" si="15"/>
        <v>0.59478742193205547</v>
      </c>
      <c r="AG19">
        <f t="shared" ca="1" si="44"/>
        <v>1.7848205377033102</v>
      </c>
      <c r="AH19">
        <f t="shared" ca="1" si="45"/>
        <v>0.594842798741818</v>
      </c>
      <c r="AI19">
        <f t="shared" ca="1" si="4"/>
        <v>1.8992427886674141</v>
      </c>
      <c r="AJ19">
        <f t="shared" ca="1" si="5"/>
        <v>-5.5376809762530677E-5</v>
      </c>
      <c r="AK19">
        <f t="shared" ca="1" si="46"/>
        <v>0.89924278866741414</v>
      </c>
      <c r="AL19">
        <f t="shared" ca="1" si="47"/>
        <v>-16238.616715617738</v>
      </c>
      <c r="AM19">
        <f t="shared" ca="1" si="48"/>
        <v>-3.6917494245291089E-5</v>
      </c>
      <c r="AN19">
        <f t="shared" ca="1" si="49"/>
        <v>0.59480588124757272</v>
      </c>
      <c r="AO19">
        <f t="shared" ca="1" si="16"/>
        <v>0.1</v>
      </c>
      <c r="AP19">
        <f t="shared" ca="1" si="17"/>
        <v>0.59480588124757272</v>
      </c>
      <c r="AQ19">
        <f t="shared" ca="1" si="50"/>
        <v>0.66603478774376279</v>
      </c>
      <c r="AR19">
        <f t="shared" ca="1" si="51"/>
        <v>0.59487181626973895</v>
      </c>
      <c r="AS19">
        <f t="shared" ca="1" si="6"/>
        <v>1.1187857499595473</v>
      </c>
      <c r="AT19">
        <f t="shared" ca="1" si="7"/>
        <v>-6.5935022166230262E-5</v>
      </c>
      <c r="AU19">
        <f t="shared" ca="1" si="52"/>
        <v>0.11878574995954727</v>
      </c>
      <c r="AV19">
        <f t="shared" ca="1" si="53"/>
        <v>-1801.5577466566076</v>
      </c>
      <c r="AW19">
        <f t="shared" ca="1" si="54"/>
        <v>-4.3952613018402291E-5</v>
      </c>
      <c r="AX19">
        <f t="shared" ca="1" si="55"/>
        <v>0.59482786365672058</v>
      </c>
      <c r="AY19">
        <f t="shared" ca="1" si="18"/>
        <v>0.1</v>
      </c>
      <c r="AZ19">
        <f t="shared" ca="1" si="19"/>
        <v>0.59482786365672058</v>
      </c>
      <c r="BA19">
        <f t="shared" ca="1" si="56"/>
        <v>-0.81133698768533213</v>
      </c>
      <c r="BB19">
        <f t="shared" ca="1" si="57"/>
        <v>0.59495874862134535</v>
      </c>
      <c r="BC19">
        <f t="shared" ca="1" si="8"/>
        <v>1.4773717754290949</v>
      </c>
      <c r="BD19">
        <f t="shared" ca="1" si="9"/>
        <v>-1.3088496462476673E-4</v>
      </c>
      <c r="BE19">
        <f t="shared" ca="1" si="58"/>
        <v>0.47737177542909492</v>
      </c>
      <c r="BF19">
        <f t="shared" ca="1" si="59"/>
        <v>-3647.2621343304713</v>
      </c>
      <c r="BG19">
        <f t="shared" ca="1" si="60"/>
        <v>-8.7252654859455139E-5</v>
      </c>
      <c r="BH19">
        <f t="shared" ca="1" si="61"/>
        <v>0.59487149596648592</v>
      </c>
      <c r="BI19">
        <f t="shared" ca="1" si="20"/>
        <v>-8.7252654859455139E-5</v>
      </c>
      <c r="BJ19">
        <f t="shared" ca="1" si="21"/>
        <v>0.59487149596648592</v>
      </c>
    </row>
    <row r="20" spans="1:62" x14ac:dyDescent="0.15">
      <c r="A20">
        <f t="shared" ca="1" si="22"/>
        <v>8.4684983288342544</v>
      </c>
      <c r="B20">
        <f t="shared" ca="1" si="23"/>
        <v>0.59480994033199053</v>
      </c>
      <c r="C20">
        <f t="shared" ca="1" si="24"/>
        <v>6.6960245745746239</v>
      </c>
      <c r="D20">
        <f t="shared" ca="1" si="25"/>
        <v>0.59468842099723995</v>
      </c>
      <c r="E20">
        <f t="shared" ca="1" si="26"/>
        <v>1.7724737542596305</v>
      </c>
      <c r="F20">
        <f t="shared" ca="1" si="27"/>
        <v>1.2151933475057497E-4</v>
      </c>
      <c r="G20">
        <f t="shared" ca="1" si="28"/>
        <v>0.7724737542596305</v>
      </c>
      <c r="H20">
        <f t="shared" ca="1" si="29"/>
        <v>6356.7970960767252</v>
      </c>
      <c r="I20">
        <f t="shared" ca="1" si="30"/>
        <v>8.1015013604271663E-5</v>
      </c>
      <c r="J20">
        <f t="shared" ca="1" si="31"/>
        <v>0.59489095534559477</v>
      </c>
      <c r="K20">
        <f t="shared" ca="1" si="10"/>
        <v>8.1015013604271663E-5</v>
      </c>
      <c r="L20">
        <f t="shared" ca="1" si="11"/>
        <v>0.59489095534559477</v>
      </c>
      <c r="M20">
        <f t="shared" ca="1" si="32"/>
        <v>5.5150454426690008</v>
      </c>
      <c r="N20">
        <f t="shared" ca="1" si="33"/>
        <v>0.59475616629276495</v>
      </c>
      <c r="O20">
        <f t="shared" ca="1" si="0"/>
        <v>1.1809791319056231</v>
      </c>
      <c r="P20">
        <f t="shared" ca="1" si="1"/>
        <v>1.3478905282982012E-4</v>
      </c>
      <c r="Q20">
        <f t="shared" ca="1" si="34"/>
        <v>0.18097913190562309</v>
      </c>
      <c r="R20">
        <f t="shared" ca="1" si="35"/>
        <v>1342.6842025080548</v>
      </c>
      <c r="S20">
        <f t="shared" ca="1" si="36"/>
        <v>8.9870515829691764E-5</v>
      </c>
      <c r="T20">
        <f t="shared" ca="1" si="37"/>
        <v>0.5948460368085946</v>
      </c>
      <c r="U20">
        <f t="shared" ca="1" si="12"/>
        <v>0.1</v>
      </c>
      <c r="V20">
        <f t="shared" ca="1" si="13"/>
        <v>0.5948460368085946</v>
      </c>
      <c r="W20">
        <f t="shared" ca="1" si="38"/>
        <v>4.27885074830278</v>
      </c>
      <c r="X20">
        <f t="shared" ca="1" si="39"/>
        <v>0.59478742193205547</v>
      </c>
      <c r="Y20">
        <f t="shared" ca="1" si="2"/>
        <v>1.2361946943662208</v>
      </c>
      <c r="Z20">
        <f t="shared" ca="1" si="3"/>
        <v>5.8614876539131444E-5</v>
      </c>
      <c r="AA20">
        <f t="shared" ca="1" si="40"/>
        <v>0.23619469436622076</v>
      </c>
      <c r="AB20">
        <f t="shared" ca="1" si="41"/>
        <v>4029.6032050589847</v>
      </c>
      <c r="AC20">
        <f t="shared" ca="1" si="42"/>
        <v>3.9078200254869979E-5</v>
      </c>
      <c r="AD20">
        <f t="shared" ca="1" si="43"/>
        <v>0.59482650013231031</v>
      </c>
      <c r="AE20">
        <f t="shared" ca="1" si="14"/>
        <v>0.1</v>
      </c>
      <c r="AF20">
        <f t="shared" ca="1" si="15"/>
        <v>0.59482650013231031</v>
      </c>
      <c r="AG20">
        <f t="shared" ca="1" si="44"/>
        <v>2.3796264189508829</v>
      </c>
      <c r="AH20">
        <f t="shared" ca="1" si="45"/>
        <v>0.59480588124757272</v>
      </c>
      <c r="AI20">
        <f t="shared" ca="1" si="4"/>
        <v>1.8992243293518971</v>
      </c>
      <c r="AJ20">
        <f t="shared" ca="1" si="5"/>
        <v>2.0618884737588772E-5</v>
      </c>
      <c r="AK20">
        <f t="shared" ca="1" si="46"/>
        <v>0.89922432935189711</v>
      </c>
      <c r="AL20">
        <f t="shared" ca="1" si="47"/>
        <v>43611.686121538252</v>
      </c>
      <c r="AM20">
        <f t="shared" ca="1" si="48"/>
        <v>1.3745975688886551E-5</v>
      </c>
      <c r="AN20">
        <f t="shared" ca="1" si="49"/>
        <v>0.59481962722326165</v>
      </c>
      <c r="AO20">
        <f t="shared" ca="1" si="16"/>
        <v>0.1</v>
      </c>
      <c r="AP20">
        <f t="shared" ca="1" si="17"/>
        <v>0.59481962722326165</v>
      </c>
      <c r="AQ20">
        <f t="shared" ca="1" si="50"/>
        <v>1.2608626514004833</v>
      </c>
      <c r="AR20">
        <f t="shared" ca="1" si="51"/>
        <v>0.59482786365672058</v>
      </c>
      <c r="AS20">
        <f t="shared" ca="1" si="6"/>
        <v>1.1187637675503996</v>
      </c>
      <c r="AT20">
        <f t="shared" ca="1" si="7"/>
        <v>-8.2364334589302146E-6</v>
      </c>
      <c r="AU20">
        <f t="shared" ca="1" si="52"/>
        <v>0.11876376755039963</v>
      </c>
      <c r="AV20">
        <f t="shared" ca="1" si="53"/>
        <v>-14419.319738646345</v>
      </c>
      <c r="AW20">
        <f t="shared" ca="1" si="54"/>
        <v>-5.4908921680424997E-6</v>
      </c>
      <c r="AX20">
        <f t="shared" ca="1" si="55"/>
        <v>0.59482237276455252</v>
      </c>
      <c r="AY20">
        <f t="shared" ca="1" si="18"/>
        <v>0.1</v>
      </c>
      <c r="AZ20">
        <f t="shared" ca="1" si="19"/>
        <v>0.59482237276455252</v>
      </c>
      <c r="BA20">
        <f t="shared" ca="1" si="56"/>
        <v>-0.21646549171884621</v>
      </c>
      <c r="BB20">
        <f t="shared" ca="1" si="57"/>
        <v>0.59487149596648592</v>
      </c>
      <c r="BC20">
        <f t="shared" ca="1" si="8"/>
        <v>1.4773281431193295</v>
      </c>
      <c r="BD20">
        <f t="shared" ca="1" si="9"/>
        <v>-4.9123201933398697E-5</v>
      </c>
      <c r="BE20">
        <f t="shared" ca="1" si="58"/>
        <v>0.47732814311932947</v>
      </c>
      <c r="BF20">
        <f t="shared" ca="1" si="59"/>
        <v>-9716.9590810975969</v>
      </c>
      <c r="BG20">
        <f t="shared" ca="1" si="60"/>
        <v>-3.2748239528649626E-5</v>
      </c>
      <c r="BH20">
        <f t="shared" ca="1" si="61"/>
        <v>0.59483874772695722</v>
      </c>
      <c r="BI20">
        <f t="shared" ca="1" si="20"/>
        <v>-3.2748239528649626E-5</v>
      </c>
      <c r="BJ20">
        <f t="shared" ca="1" si="21"/>
        <v>0.59483874772695722</v>
      </c>
    </row>
    <row r="21" spans="1:62" x14ac:dyDescent="0.15">
      <c r="A21">
        <f t="shared" ref="A21:A25" ca="1" si="62">A20+B20</f>
        <v>9.0633082691662441</v>
      </c>
      <c r="B21">
        <f t="shared" ref="B21:B25" ca="1" si="63">B20</f>
        <v>0.59480994033199053</v>
      </c>
      <c r="C21">
        <f t="shared" ca="1" si="24"/>
        <v>7.2909155299202189</v>
      </c>
      <c r="D21">
        <f t="shared" ca="1" si="25"/>
        <v>0.59489095534559477</v>
      </c>
      <c r="E21">
        <f t="shared" ref="E21:E25" ca="1" si="64">A21-C21</f>
        <v>1.7723927392460253</v>
      </c>
      <c r="F21">
        <f t="shared" ref="F21:F25" ca="1" si="65">B21-D21</f>
        <v>-8.1015013604246455E-5</v>
      </c>
      <c r="G21">
        <f t="shared" ref="G21:G25" ca="1" si="66">E21-$B$1</f>
        <v>0.77239273924602525</v>
      </c>
      <c r="H21">
        <f t="shared" ref="H21:H25" ca="1" si="67">G21/F21</f>
        <v>-9533.9456834398388</v>
      </c>
      <c r="I21">
        <f t="shared" ref="I21:I25" ca="1" si="68">$D$2/($B$2*H21+$C$2)*G21+$E$2/($B$2*H21+$C$2)*F21</f>
        <v>-5.4009064816682014E-5</v>
      </c>
      <c r="J21">
        <f t="shared" ref="J21:J25" ca="1" si="69">B21+I21</f>
        <v>0.59475593126717385</v>
      </c>
      <c r="K21">
        <f t="shared" ca="1" si="10"/>
        <v>-5.4009064816682014E-5</v>
      </c>
      <c r="L21">
        <f t="shared" ca="1" si="11"/>
        <v>0.59475593126717385</v>
      </c>
      <c r="M21">
        <f t="shared" ca="1" si="32"/>
        <v>6.1098914794775956</v>
      </c>
      <c r="N21">
        <f t="shared" ref="N21:N25" ca="1" si="70">T20</f>
        <v>0.5948460368085946</v>
      </c>
      <c r="O21">
        <f t="shared" ca="1" si="0"/>
        <v>1.1810240504426233</v>
      </c>
      <c r="P21">
        <f t="shared" ca="1" si="1"/>
        <v>-9.0105541420748558E-5</v>
      </c>
      <c r="Q21">
        <f t="shared" ref="Q21:Q25" ca="1" si="71">O21-$B$1</f>
        <v>0.18102405044262326</v>
      </c>
      <c r="R21">
        <f t="shared" ref="R21:R25" ca="1" si="72">Q21/P21</f>
        <v>-2009.0223929439587</v>
      </c>
      <c r="S21">
        <f t="shared" ref="S21:S25" ca="1" si="73">$D$2/($B$2*R21+$C$2)*Q21+$E$2/($B$2*R21+$C$2)*P21</f>
        <v>-6.006537549682845E-5</v>
      </c>
      <c r="T21">
        <f t="shared" ref="T21:T25" ca="1" si="74">N21+S21</f>
        <v>0.59478597143309775</v>
      </c>
      <c r="U21">
        <f t="shared" ca="1" si="12"/>
        <v>0.1</v>
      </c>
      <c r="V21">
        <f t="shared" ca="1" si="13"/>
        <v>0.59478597143309775</v>
      </c>
      <c r="W21">
        <f t="shared" ca="1" si="38"/>
        <v>4.8736772484350901</v>
      </c>
      <c r="X21">
        <f t="shared" ca="1" si="39"/>
        <v>0.59482650013231031</v>
      </c>
      <c r="Y21">
        <f t="shared" ca="1" si="2"/>
        <v>1.2362142310425055</v>
      </c>
      <c r="Z21">
        <f t="shared" ca="1" si="3"/>
        <v>-4.0528699212560859E-5</v>
      </c>
      <c r="AA21">
        <f t="shared" ref="AA21:AA25" ca="1" si="75">Y21-$B$1</f>
        <v>0.2362142310425055</v>
      </c>
      <c r="AB21">
        <f t="shared" ref="AB21:AB25" ca="1" si="76">AA21/Z21</f>
        <v>-5828.3200702700269</v>
      </c>
      <c r="AC21">
        <f t="shared" ref="AC21:AC25" ca="1" si="77">$D$2/($B$2*AB21+$C$2)*AA21+$E$2/($B$2*AB21+$C$2)*Z21</f>
        <v>-2.7018360058644109E-5</v>
      </c>
      <c r="AD21">
        <f t="shared" ref="AD21:AD25" ca="1" si="78">X21+AC21</f>
        <v>0.59479948177225161</v>
      </c>
      <c r="AE21">
        <f t="shared" ca="1" si="14"/>
        <v>0.1</v>
      </c>
      <c r="AF21">
        <f t="shared" ca="1" si="15"/>
        <v>0.59479948177225161</v>
      </c>
      <c r="AG21">
        <f t="shared" ca="1" si="44"/>
        <v>2.9744460461741444</v>
      </c>
      <c r="AH21">
        <f t="shared" ca="1" si="45"/>
        <v>0.59481962722326165</v>
      </c>
      <c r="AI21">
        <f t="shared" ca="1" si="4"/>
        <v>1.8992312022609457</v>
      </c>
      <c r="AJ21">
        <f t="shared" ca="1" si="5"/>
        <v>-2.0145451010034066E-5</v>
      </c>
      <c r="AK21">
        <f t="shared" ref="AK21:AK25" ca="1" si="79">AI21-$B$1</f>
        <v>0.89923120226094566</v>
      </c>
      <c r="AL21">
        <f t="shared" ref="AL21:AL25" ca="1" si="80">AK21/AJ21</f>
        <v>-44636.935743610593</v>
      </c>
      <c r="AM21">
        <f t="shared" ref="AM21:AM25" ca="1" si="81">$D$2/($B$2*AL21+$C$2)*AK21+$E$2/($B$2*AL21+$C$2)*AJ21</f>
        <v>-1.3430250525979265E-5</v>
      </c>
      <c r="AN21">
        <f t="shared" ref="AN21:AN25" ca="1" si="82">AH21+AM21</f>
        <v>0.59480619697273562</v>
      </c>
      <c r="AO21">
        <f t="shared" ca="1" si="16"/>
        <v>0.1</v>
      </c>
      <c r="AP21">
        <f t="shared" ca="1" si="17"/>
        <v>0.59480619697273562</v>
      </c>
      <c r="AQ21">
        <f t="shared" ca="1" si="50"/>
        <v>1.8556850241650358</v>
      </c>
      <c r="AR21">
        <f t="shared" ca="1" si="51"/>
        <v>0.59482237276455252</v>
      </c>
      <c r="AS21">
        <f t="shared" ca="1" si="6"/>
        <v>1.1187610220091087</v>
      </c>
      <c r="AT21">
        <f t="shared" ca="1" si="7"/>
        <v>-1.6175791816896989E-5</v>
      </c>
      <c r="AU21">
        <f t="shared" ref="AU21:AU25" ca="1" si="83">AS21-$B$1</f>
        <v>0.11876102200910865</v>
      </c>
      <c r="AV21">
        <f t="shared" ref="AV21:AV25" ca="1" si="84">AU21/AT21</f>
        <v>-7341.8985205443032</v>
      </c>
      <c r="AW21">
        <f t="shared" ref="AW21:AW25" ca="1" si="85">$D$2/($B$2*AV21+$C$2)*AU21+$E$2/($B$2*AV21+$C$2)*AT21</f>
        <v>-1.078361638164443E-5</v>
      </c>
      <c r="AX21">
        <f t="shared" ref="AX21:AX25" ca="1" si="86">AR21+AW21</f>
        <v>0.59481158914817089</v>
      </c>
      <c r="AY21">
        <f t="shared" ca="1" si="18"/>
        <v>0.1</v>
      </c>
      <c r="AZ21">
        <f t="shared" ca="1" si="19"/>
        <v>0.59481158914817089</v>
      </c>
      <c r="BA21">
        <f t="shared" ca="1" si="56"/>
        <v>0.378373256008111</v>
      </c>
      <c r="BB21">
        <f t="shared" ca="1" si="57"/>
        <v>0.59483874772695722</v>
      </c>
      <c r="BC21">
        <f t="shared" ca="1" si="8"/>
        <v>1.4773117681569248</v>
      </c>
      <c r="BD21">
        <f t="shared" ca="1" si="9"/>
        <v>-2.7158578786323773E-5</v>
      </c>
      <c r="BE21">
        <f t="shared" ref="BE21:BE25" ca="1" si="87">BC21-$B$1</f>
        <v>0.47731176815692478</v>
      </c>
      <c r="BF21">
        <f t="shared" ref="BF21:BF25" ca="1" si="88">BE21/BD21</f>
        <v>-17574.990647054194</v>
      </c>
      <c r="BG21">
        <f t="shared" ref="BG21:BG25" ca="1" si="89">$D$2/($B$2*BF21+$C$2)*BE21+$E$2/($B$2*BF21+$C$2)*BD21</f>
        <v>-1.8105547483083886E-5</v>
      </c>
      <c r="BH21">
        <f t="shared" ref="BH21:BH25" ca="1" si="90">BB21+BG21</f>
        <v>0.59482064217947417</v>
      </c>
      <c r="BI21">
        <f t="shared" ca="1" si="20"/>
        <v>0.1</v>
      </c>
      <c r="BJ21">
        <f t="shared" ca="1" si="21"/>
        <v>0.59482064217947417</v>
      </c>
    </row>
    <row r="22" spans="1:62" x14ac:dyDescent="0.15">
      <c r="A22">
        <f t="shared" ca="1" si="62"/>
        <v>9.6581182094982339</v>
      </c>
      <c r="B22">
        <f t="shared" ca="1" si="63"/>
        <v>0.59480994033199053</v>
      </c>
      <c r="C22">
        <f t="shared" ca="1" si="24"/>
        <v>7.8856714611873926</v>
      </c>
      <c r="D22">
        <f t="shared" ca="1" si="25"/>
        <v>0.59475593126717385</v>
      </c>
      <c r="E22">
        <f t="shared" ca="1" si="64"/>
        <v>1.7724467483108413</v>
      </c>
      <c r="F22">
        <f t="shared" ca="1" si="65"/>
        <v>5.4009064816673558E-5</v>
      </c>
      <c r="G22">
        <f t="shared" ca="1" si="66"/>
        <v>0.77244674831084126</v>
      </c>
      <c r="H22">
        <f t="shared" ca="1" si="67"/>
        <v>14302.168551386827</v>
      </c>
      <c r="I22">
        <f t="shared" ca="1" si="68"/>
        <v>3.600646277389352E-5</v>
      </c>
      <c r="J22">
        <f t="shared" ca="1" si="69"/>
        <v>0.59484594679476444</v>
      </c>
      <c r="K22">
        <f t="shared" ca="1" si="10"/>
        <v>3.600646277389352E-5</v>
      </c>
      <c r="L22">
        <f t="shared" ca="1" si="11"/>
        <v>0.59484594679476444</v>
      </c>
      <c r="M22">
        <f t="shared" ca="1" si="32"/>
        <v>6.704677450910693</v>
      </c>
      <c r="N22">
        <f t="shared" ca="1" si="70"/>
        <v>0.59478597143309775</v>
      </c>
      <c r="O22">
        <f t="shared" ca="1" si="0"/>
        <v>1.1809940102766996</v>
      </c>
      <c r="P22">
        <f t="shared" ca="1" si="1"/>
        <v>5.9975361666686489E-5</v>
      </c>
      <c r="Q22">
        <f t="shared" ca="1" si="71"/>
        <v>0.18099401027669959</v>
      </c>
      <c r="R22">
        <f t="shared" ca="1" si="72"/>
        <v>3017.8060664740151</v>
      </c>
      <c r="S22">
        <f t="shared" ca="1" si="73"/>
        <v>3.9985782038075666E-5</v>
      </c>
      <c r="T22">
        <f t="shared" ca="1" si="74"/>
        <v>0.59482595721513587</v>
      </c>
      <c r="U22">
        <f t="shared" ca="1" si="12"/>
        <v>0.1</v>
      </c>
      <c r="V22">
        <f t="shared" ca="1" si="13"/>
        <v>0.59482595721513587</v>
      </c>
      <c r="W22">
        <f t="shared" ca="1" si="38"/>
        <v>5.4684767302073416</v>
      </c>
      <c r="X22">
        <f t="shared" ca="1" si="39"/>
        <v>0.59479948177225161</v>
      </c>
      <c r="Y22">
        <f t="shared" ca="1" si="2"/>
        <v>1.2362007207033514</v>
      </c>
      <c r="Z22">
        <f t="shared" ca="1" si="3"/>
        <v>2.6475442884255074E-5</v>
      </c>
      <c r="AA22">
        <f t="shared" ca="1" si="75"/>
        <v>0.23620072070335141</v>
      </c>
      <c r="AB22">
        <f t="shared" ca="1" si="76"/>
        <v>8921.5021533717118</v>
      </c>
      <c r="AC22">
        <f t="shared" ca="1" si="77"/>
        <v>1.7650624958620762E-5</v>
      </c>
      <c r="AD22">
        <f t="shared" ca="1" si="78"/>
        <v>0.59481713239721024</v>
      </c>
      <c r="AE22">
        <f t="shared" ca="1" si="14"/>
        <v>0.1</v>
      </c>
      <c r="AF22">
        <f t="shared" ca="1" si="15"/>
        <v>0.59481713239721024</v>
      </c>
      <c r="AG22">
        <f t="shared" ca="1" si="44"/>
        <v>3.5692522431468801</v>
      </c>
      <c r="AH22">
        <f t="shared" ca="1" si="45"/>
        <v>0.59480619697273562</v>
      </c>
      <c r="AI22">
        <f t="shared" ca="1" si="4"/>
        <v>1.8992244870604615</v>
      </c>
      <c r="AJ22">
        <f t="shared" ca="1" si="5"/>
        <v>1.0935424474611821E-5</v>
      </c>
      <c r="AK22">
        <f t="shared" ca="1" si="79"/>
        <v>0.89922448706046154</v>
      </c>
      <c r="AL22">
        <f t="shared" ca="1" si="80"/>
        <v>82230.414479853251</v>
      </c>
      <c r="AM22">
        <f t="shared" ca="1" si="81"/>
        <v>7.2902977590532203E-6</v>
      </c>
      <c r="AN22">
        <f t="shared" ca="1" si="82"/>
        <v>0.59481348727049466</v>
      </c>
      <c r="AO22">
        <f t="shared" ca="1" si="16"/>
        <v>0.1</v>
      </c>
      <c r="AP22">
        <f t="shared" ca="1" si="17"/>
        <v>0.59481348727049466</v>
      </c>
      <c r="AQ22">
        <f t="shared" ca="1" si="50"/>
        <v>2.4504966133132067</v>
      </c>
      <c r="AR22">
        <f t="shared" ca="1" si="51"/>
        <v>0.59481158914817089</v>
      </c>
      <c r="AS22">
        <f t="shared" ca="1" si="6"/>
        <v>1.1187556298336734</v>
      </c>
      <c r="AT22">
        <f t="shared" ca="1" si="7"/>
        <v>1.8981223237624079E-6</v>
      </c>
      <c r="AU22">
        <f t="shared" ca="1" si="83"/>
        <v>0.11875562983367338</v>
      </c>
      <c r="AV22">
        <f t="shared" ca="1" si="84"/>
        <v>62564.792767559426</v>
      </c>
      <c r="AW22">
        <f t="shared" ca="1" si="85"/>
        <v>1.2654182534084541E-6</v>
      </c>
      <c r="AX22">
        <f t="shared" ca="1" si="86"/>
        <v>0.5948128545664243</v>
      </c>
      <c r="AY22">
        <f t="shared" ca="1" si="18"/>
        <v>0.1</v>
      </c>
      <c r="AZ22">
        <f t="shared" ca="1" si="19"/>
        <v>0.5948128545664243</v>
      </c>
      <c r="BA22">
        <f t="shared" ca="1" si="56"/>
        <v>0.97319389818758517</v>
      </c>
      <c r="BB22">
        <f t="shared" ca="1" si="57"/>
        <v>0.59482064217947417</v>
      </c>
      <c r="BC22">
        <f t="shared" ca="1" si="8"/>
        <v>1.4773027151256215</v>
      </c>
      <c r="BD22">
        <f t="shared" ca="1" si="9"/>
        <v>-7.7876130498699681E-6</v>
      </c>
      <c r="BE22">
        <f t="shared" ca="1" si="87"/>
        <v>0.4773027151256215</v>
      </c>
      <c r="BF22">
        <f t="shared" ca="1" si="88"/>
        <v>-61289.988610000488</v>
      </c>
      <c r="BG22">
        <f t="shared" ca="1" si="89"/>
        <v>-5.1917279150827555E-6</v>
      </c>
      <c r="BH22">
        <f t="shared" ca="1" si="90"/>
        <v>0.59481545045155904</v>
      </c>
      <c r="BI22">
        <f t="shared" ca="1" si="20"/>
        <v>0.1</v>
      </c>
      <c r="BJ22">
        <f t="shared" ca="1" si="21"/>
        <v>0.59481545045155904</v>
      </c>
    </row>
    <row r="23" spans="1:62" x14ac:dyDescent="0.15">
      <c r="A23">
        <f t="shared" ca="1" si="62"/>
        <v>10.252928149830224</v>
      </c>
      <c r="B23">
        <f t="shared" ca="1" si="63"/>
        <v>0.59480994033199053</v>
      </c>
      <c r="C23">
        <f t="shared" ca="1" si="24"/>
        <v>8.4805174079821573</v>
      </c>
      <c r="D23">
        <f t="shared" ca="1" si="25"/>
        <v>0.59484594679476444</v>
      </c>
      <c r="E23">
        <f t="shared" ca="1" si="64"/>
        <v>1.7724107418480664</v>
      </c>
      <c r="F23">
        <f t="shared" ca="1" si="65"/>
        <v>-3.6006462773907622E-5</v>
      </c>
      <c r="G23">
        <f t="shared" ca="1" si="66"/>
        <v>0.77241074184806635</v>
      </c>
      <c r="H23">
        <f t="shared" ca="1" si="67"/>
        <v>-21452.002844550454</v>
      </c>
      <c r="I23">
        <f t="shared" ca="1" si="68"/>
        <v>-2.4004122012443402E-5</v>
      </c>
      <c r="J23">
        <f t="shared" ca="1" si="69"/>
        <v>0.59478593620997811</v>
      </c>
      <c r="K23">
        <f t="shared" ca="1" si="10"/>
        <v>-2.4004122012443402E-5</v>
      </c>
      <c r="L23">
        <f t="shared" ca="1" si="11"/>
        <v>0.59478593620997811</v>
      </c>
      <c r="M23">
        <f t="shared" ca="1" si="32"/>
        <v>7.2995034081258288</v>
      </c>
      <c r="N23">
        <f t="shared" ca="1" si="70"/>
        <v>0.59482595721513587</v>
      </c>
      <c r="O23">
        <f t="shared" ca="1" si="0"/>
        <v>1.1810139998563285</v>
      </c>
      <c r="P23">
        <f t="shared" ca="1" si="1"/>
        <v>-4.00210051577643E-5</v>
      </c>
      <c r="Q23">
        <f t="shared" ca="1" si="71"/>
        <v>0.18101399985632849</v>
      </c>
      <c r="R23">
        <f t="shared" ca="1" si="72"/>
        <v>-4522.9748514002713</v>
      </c>
      <c r="S23">
        <f t="shared" ca="1" si="73"/>
        <v>-2.6679686770547441E-5</v>
      </c>
      <c r="T23">
        <f t="shared" ca="1" si="74"/>
        <v>0.59479927752836537</v>
      </c>
      <c r="U23">
        <f t="shared" ca="1" si="12"/>
        <v>0.1</v>
      </c>
      <c r="V23">
        <f t="shared" ca="1" si="13"/>
        <v>0.59479927752836537</v>
      </c>
      <c r="W23">
        <f t="shared" ca="1" si="38"/>
        <v>6.0632938626045521</v>
      </c>
      <c r="X23">
        <f t="shared" ca="1" si="39"/>
        <v>0.59481713239721024</v>
      </c>
      <c r="Y23">
        <f t="shared" ca="1" si="2"/>
        <v>1.2362095455212767</v>
      </c>
      <c r="Z23">
        <f t="shared" ca="1" si="3"/>
        <v>-1.7854868844868754E-5</v>
      </c>
      <c r="AA23">
        <f t="shared" ca="1" si="75"/>
        <v>0.23620954552127671</v>
      </c>
      <c r="AB23">
        <f t="shared" ca="1" si="76"/>
        <v>-13229.419245449126</v>
      </c>
      <c r="AC23">
        <f t="shared" ca="1" si="77"/>
        <v>-1.1903095927842582E-5</v>
      </c>
      <c r="AD23">
        <f t="shared" ca="1" si="78"/>
        <v>0.59480522930128243</v>
      </c>
      <c r="AE23">
        <f t="shared" ca="1" si="14"/>
        <v>0.1</v>
      </c>
      <c r="AF23">
        <f t="shared" ca="1" si="15"/>
        <v>0.59480522930128243</v>
      </c>
      <c r="AG23">
        <f t="shared" ca="1" si="44"/>
        <v>4.1640657304173745</v>
      </c>
      <c r="AH23">
        <f t="shared" ca="1" si="45"/>
        <v>0.59481348727049466</v>
      </c>
      <c r="AI23">
        <f t="shared" ca="1" si="4"/>
        <v>1.8992281321871776</v>
      </c>
      <c r="AJ23">
        <f t="shared" ca="1" si="5"/>
        <v>-8.2579692122219939E-6</v>
      </c>
      <c r="AK23">
        <f t="shared" ca="1" si="79"/>
        <v>0.89922813218717756</v>
      </c>
      <c r="AL23">
        <f t="shared" ca="1" si="80"/>
        <v>-108892.16332464623</v>
      </c>
      <c r="AM23">
        <f t="shared" ca="1" si="81"/>
        <v>-5.5053043818377039E-6</v>
      </c>
      <c r="AN23">
        <f t="shared" ca="1" si="82"/>
        <v>0.59480798196611284</v>
      </c>
      <c r="AO23">
        <f t="shared" ca="1" si="16"/>
        <v>0.1</v>
      </c>
      <c r="AP23">
        <f t="shared" ca="1" si="17"/>
        <v>0.59480798196611284</v>
      </c>
      <c r="AQ23">
        <f t="shared" ca="1" si="50"/>
        <v>3.0453094678796311</v>
      </c>
      <c r="AR23">
        <f t="shared" ca="1" si="51"/>
        <v>0.5948128545664243</v>
      </c>
      <c r="AS23">
        <f t="shared" ca="1" si="6"/>
        <v>1.1187562625377434</v>
      </c>
      <c r="AT23">
        <f t="shared" ca="1" si="7"/>
        <v>-4.8726003114563099E-6</v>
      </c>
      <c r="AU23">
        <f t="shared" ca="1" si="83"/>
        <v>0.11875626253774341</v>
      </c>
      <c r="AV23">
        <f t="shared" ca="1" si="84"/>
        <v>-24372.256074139161</v>
      </c>
      <c r="AW23">
        <f t="shared" ca="1" si="85"/>
        <v>-3.2483779930938769E-6</v>
      </c>
      <c r="AX23">
        <f t="shared" ca="1" si="86"/>
        <v>0.59480960618843115</v>
      </c>
      <c r="AY23">
        <f t="shared" ca="1" si="18"/>
        <v>0.1</v>
      </c>
      <c r="AZ23">
        <f t="shared" ca="1" si="19"/>
        <v>0.59480960618843115</v>
      </c>
      <c r="BA23">
        <f t="shared" ca="1" si="56"/>
        <v>1.5680093486391442</v>
      </c>
      <c r="BB23">
        <f t="shared" ca="1" si="57"/>
        <v>0.59481545045155904</v>
      </c>
      <c r="BC23">
        <f t="shared" ca="1" si="8"/>
        <v>1.4773001192404869</v>
      </c>
      <c r="BD23">
        <f t="shared" ca="1" si="9"/>
        <v>-5.8442631278854407E-6</v>
      </c>
      <c r="BE23">
        <f t="shared" ca="1" si="87"/>
        <v>0.47730011924048688</v>
      </c>
      <c r="BF23">
        <f t="shared" ca="1" si="88"/>
        <v>-81669.854487400982</v>
      </c>
      <c r="BG23">
        <f t="shared" ca="1" si="89"/>
        <v>-3.8961674674411245E-6</v>
      </c>
      <c r="BH23">
        <f t="shared" ca="1" si="90"/>
        <v>0.5948115542840916</v>
      </c>
      <c r="BI23">
        <f t="shared" ca="1" si="20"/>
        <v>0.1</v>
      </c>
      <c r="BJ23">
        <f t="shared" ca="1" si="21"/>
        <v>0.5948115542840916</v>
      </c>
    </row>
    <row r="24" spans="1:62" x14ac:dyDescent="0.15">
      <c r="A24">
        <f t="shared" ca="1" si="62"/>
        <v>10.847738090162213</v>
      </c>
      <c r="B24">
        <f t="shared" ca="1" si="63"/>
        <v>0.59480994033199053</v>
      </c>
      <c r="C24">
        <f t="shared" ca="1" si="24"/>
        <v>9.075303344192136</v>
      </c>
      <c r="D24">
        <f t="shared" ca="1" si="25"/>
        <v>0.59478593620997811</v>
      </c>
      <c r="E24">
        <f t="shared" ca="1" si="64"/>
        <v>1.7724347459700773</v>
      </c>
      <c r="F24">
        <f t="shared" ca="1" si="65"/>
        <v>2.400412201242208E-5</v>
      </c>
      <c r="G24">
        <f t="shared" ca="1" si="66"/>
        <v>0.77243474597007733</v>
      </c>
      <c r="H24">
        <f t="shared" ca="1" si="67"/>
        <v>32179.25427850867</v>
      </c>
      <c r="I24">
        <f t="shared" ca="1" si="68"/>
        <v>1.6002830889493524E-5</v>
      </c>
      <c r="J24">
        <f t="shared" ca="1" si="69"/>
        <v>0.59482594316288007</v>
      </c>
      <c r="K24">
        <f t="shared" ca="1" si="10"/>
        <v>1.6002830889493524E-5</v>
      </c>
      <c r="L24">
        <f t="shared" ca="1" si="11"/>
        <v>0.59482594316288007</v>
      </c>
      <c r="M24">
        <f t="shared" ca="1" si="32"/>
        <v>7.8943026856541945</v>
      </c>
      <c r="N24">
        <f t="shared" ca="1" si="70"/>
        <v>0.59479927752836537</v>
      </c>
      <c r="O24">
        <f t="shared" ca="1" si="0"/>
        <v>1.1810006585379416</v>
      </c>
      <c r="P24">
        <f t="shared" ca="1" si="1"/>
        <v>2.6665634514699832E-5</v>
      </c>
      <c r="Q24">
        <f t="shared" ca="1" si="71"/>
        <v>0.18100065853794156</v>
      </c>
      <c r="R24">
        <f t="shared" ca="1" si="72"/>
        <v>6787.7874212279567</v>
      </c>
      <c r="S24">
        <f t="shared" ca="1" si="73"/>
        <v>1.777752611980115E-5</v>
      </c>
      <c r="T24">
        <f t="shared" ca="1" si="74"/>
        <v>0.59481705505448512</v>
      </c>
      <c r="U24">
        <f t="shared" ca="1" si="12"/>
        <v>0.1</v>
      </c>
      <c r="V24">
        <f t="shared" ca="1" si="13"/>
        <v>0.59481705505448512</v>
      </c>
      <c r="W24">
        <f t="shared" ca="1" si="38"/>
        <v>6.658099091905834</v>
      </c>
      <c r="X24">
        <f t="shared" ca="1" si="39"/>
        <v>0.59480522930128243</v>
      </c>
      <c r="Y24">
        <f t="shared" ca="1" si="2"/>
        <v>1.2362035937483604</v>
      </c>
      <c r="Z24">
        <f t="shared" ca="1" si="3"/>
        <v>1.182575320268775E-5</v>
      </c>
      <c r="AA24">
        <f t="shared" ca="1" si="75"/>
        <v>0.23620359374836042</v>
      </c>
      <c r="AB24">
        <f t="shared" ca="1" si="76"/>
        <v>19973.661694096256</v>
      </c>
      <c r="AC24">
        <f t="shared" ca="1" si="77"/>
        <v>7.8839012509764707E-6</v>
      </c>
      <c r="AD24">
        <f t="shared" ca="1" si="78"/>
        <v>0.59481311320253338</v>
      </c>
      <c r="AE24">
        <f t="shared" ca="1" si="14"/>
        <v>0.1</v>
      </c>
      <c r="AF24">
        <f t="shared" ca="1" si="15"/>
        <v>0.59481311320253338</v>
      </c>
      <c r="AG24">
        <f t="shared" ca="1" si="44"/>
        <v>4.7588737123834877</v>
      </c>
      <c r="AH24">
        <f t="shared" ca="1" si="45"/>
        <v>0.59480798196611284</v>
      </c>
      <c r="AI24">
        <f t="shared" ca="1" si="4"/>
        <v>1.8992253795223464</v>
      </c>
      <c r="AJ24">
        <f t="shared" ca="1" si="5"/>
        <v>5.131236420541363E-6</v>
      </c>
      <c r="AK24">
        <f t="shared" ca="1" si="79"/>
        <v>0.89922537952234638</v>
      </c>
      <c r="AL24">
        <f t="shared" ca="1" si="80"/>
        <v>175245.36112243196</v>
      </c>
      <c r="AM24">
        <f t="shared" ca="1" si="81"/>
        <v>3.4208275337118983E-6</v>
      </c>
      <c r="AN24">
        <f t="shared" ca="1" si="82"/>
        <v>0.59481140279364653</v>
      </c>
      <c r="AO24">
        <f t="shared" ca="1" si="16"/>
        <v>0.1</v>
      </c>
      <c r="AP24">
        <f t="shared" ca="1" si="17"/>
        <v>0.59481140279364653</v>
      </c>
      <c r="AQ24">
        <f t="shared" ca="1" si="50"/>
        <v>3.6401190740680622</v>
      </c>
      <c r="AR24">
        <f t="shared" ca="1" si="51"/>
        <v>0.59480960618843115</v>
      </c>
      <c r="AS24">
        <f t="shared" ca="1" si="6"/>
        <v>1.1187546383154254</v>
      </c>
      <c r="AT24">
        <f t="shared" ca="1" si="7"/>
        <v>1.796605215376168E-6</v>
      </c>
      <c r="AU24">
        <f t="shared" ca="1" si="83"/>
        <v>0.11875463831542543</v>
      </c>
      <c r="AV24">
        <f t="shared" ca="1" si="84"/>
        <v>66099.462084975035</v>
      </c>
      <c r="AW24">
        <f t="shared" ca="1" si="85"/>
        <v>1.1977398302494106E-6</v>
      </c>
      <c r="AX24">
        <f t="shared" ca="1" si="86"/>
        <v>0.59481080392826136</v>
      </c>
      <c r="AY24">
        <f t="shared" ca="1" si="18"/>
        <v>0.1</v>
      </c>
      <c r="AZ24">
        <f t="shared" ca="1" si="19"/>
        <v>0.59481080392826136</v>
      </c>
      <c r="BA24">
        <f t="shared" ca="1" si="56"/>
        <v>2.1628209029232357</v>
      </c>
      <c r="BB24">
        <f t="shared" ca="1" si="57"/>
        <v>0.5948115542840916</v>
      </c>
      <c r="BC24">
        <f t="shared" ca="1" si="8"/>
        <v>1.4772981711448265</v>
      </c>
      <c r="BD24">
        <f t="shared" ca="1" si="9"/>
        <v>-7.5035583024796182E-7</v>
      </c>
      <c r="BE24">
        <f t="shared" ca="1" si="87"/>
        <v>0.47729817114482653</v>
      </c>
      <c r="BF24">
        <f t="shared" ca="1" si="88"/>
        <v>-636095.77203804639</v>
      </c>
      <c r="BG24">
        <f t="shared" ca="1" si="89"/>
        <v>-5.0023708909545507E-7</v>
      </c>
      <c r="BH24">
        <f t="shared" ca="1" si="90"/>
        <v>0.59481105404700252</v>
      </c>
      <c r="BI24">
        <f t="shared" ca="1" si="20"/>
        <v>0.1</v>
      </c>
      <c r="BJ24">
        <f t="shared" ca="1" si="21"/>
        <v>0.59481105404700252</v>
      </c>
    </row>
    <row r="25" spans="1:62" x14ac:dyDescent="0.15">
      <c r="A25">
        <f t="shared" ca="1" si="62"/>
        <v>11.442548030494203</v>
      </c>
      <c r="B25">
        <f t="shared" ca="1" si="63"/>
        <v>0.59480994033199053</v>
      </c>
      <c r="C25">
        <f t="shared" ca="1" si="24"/>
        <v>9.6701292873550155</v>
      </c>
      <c r="D25">
        <f t="shared" ca="1" si="25"/>
        <v>0.59482594316288007</v>
      </c>
      <c r="E25">
        <f t="shared" ca="1" si="64"/>
        <v>1.7724187431391876</v>
      </c>
      <c r="F25">
        <f t="shared" ca="1" si="65"/>
        <v>-1.6002830889538799E-5</v>
      </c>
      <c r="G25">
        <f t="shared" ca="1" si="66"/>
        <v>0.77241874313918757</v>
      </c>
      <c r="H25">
        <f t="shared" ca="1" si="67"/>
        <v>-48267.631425395171</v>
      </c>
      <c r="I25">
        <f t="shared" ca="1" si="68"/>
        <v>-1.0668517087530207E-5</v>
      </c>
      <c r="J25">
        <f t="shared" ca="1" si="69"/>
        <v>0.594799271814903</v>
      </c>
      <c r="K25">
        <f t="shared" ca="1" si="10"/>
        <v>-1.0668517087530207E-5</v>
      </c>
      <c r="L25">
        <f t="shared" ca="1" si="11"/>
        <v>0.594799271814903</v>
      </c>
      <c r="M25">
        <f t="shared" ca="1" si="32"/>
        <v>8.4891197407086789</v>
      </c>
      <c r="N25">
        <f t="shared" ca="1" si="70"/>
        <v>0.59481705505448512</v>
      </c>
      <c r="O25">
        <f t="shared" ca="1" si="0"/>
        <v>1.1810095466463366</v>
      </c>
      <c r="P25">
        <f t="shared" ca="1" si="1"/>
        <v>-1.7783239582125354E-5</v>
      </c>
      <c r="Q25">
        <f t="shared" ca="1" si="71"/>
        <v>0.18100954664633662</v>
      </c>
      <c r="R25">
        <f t="shared" ca="1" si="72"/>
        <v>-10178.659844873066</v>
      </c>
      <c r="S25">
        <f t="shared" ca="1" si="73"/>
        <v>-1.1855298915509714E-5</v>
      </c>
      <c r="T25">
        <f t="shared" ca="1" si="74"/>
        <v>0.59480519975556956</v>
      </c>
      <c r="U25">
        <f t="shared" ca="1" si="12"/>
        <v>0.1</v>
      </c>
      <c r="V25">
        <f t="shared" ca="1" si="13"/>
        <v>0.59480519975556956</v>
      </c>
      <c r="W25">
        <f t="shared" ca="1" si="38"/>
        <v>7.2529122051083679</v>
      </c>
      <c r="X25">
        <f t="shared" ca="1" si="39"/>
        <v>0.59481311320253338</v>
      </c>
      <c r="Y25">
        <f t="shared" ca="1" si="2"/>
        <v>1.236207535600311</v>
      </c>
      <c r="Z25">
        <f t="shared" ca="1" si="3"/>
        <v>-7.9134469638253435E-6</v>
      </c>
      <c r="AA25">
        <f t="shared" ca="1" si="75"/>
        <v>0.23620753560031105</v>
      </c>
      <c r="AB25">
        <f t="shared" ca="1" si="76"/>
        <v>-29848.880858124667</v>
      </c>
      <c r="AC25">
        <f t="shared" ca="1" si="77"/>
        <v>-5.2756018509454917E-6</v>
      </c>
      <c r="AD25">
        <f t="shared" ca="1" si="78"/>
        <v>0.59480783760068245</v>
      </c>
      <c r="AE25">
        <f t="shared" ca="1" si="14"/>
        <v>0.1</v>
      </c>
      <c r="AF25">
        <f t="shared" ca="1" si="15"/>
        <v>0.59480783760068245</v>
      </c>
      <c r="AG25">
        <f t="shared" ca="1" si="44"/>
        <v>5.3536851151771341</v>
      </c>
      <c r="AH25">
        <f t="shared" ca="1" si="45"/>
        <v>0.59481140279364653</v>
      </c>
      <c r="AI25">
        <f t="shared" ca="1" si="4"/>
        <v>1.8992270899312338</v>
      </c>
      <c r="AJ25">
        <f t="shared" ca="1" si="5"/>
        <v>-3.5651929640723168E-6</v>
      </c>
      <c r="AK25">
        <f t="shared" ca="1" si="79"/>
        <v>0.89922708993123379</v>
      </c>
      <c r="AL25">
        <f t="shared" ca="1" si="80"/>
        <v>-252223.96066441742</v>
      </c>
      <c r="AM25">
        <f t="shared" ca="1" si="81"/>
        <v>-2.3767937388175933E-6</v>
      </c>
      <c r="AN25">
        <f t="shared" ca="1" si="82"/>
        <v>0.5948090259999077</v>
      </c>
      <c r="AO25">
        <f t="shared" ca="1" si="16"/>
        <v>0.1</v>
      </c>
      <c r="AP25">
        <f t="shared" ca="1" si="17"/>
        <v>0.5948090259999077</v>
      </c>
      <c r="AQ25">
        <f t="shared" ca="1" si="50"/>
        <v>4.2349298779963238</v>
      </c>
      <c r="AR25">
        <f t="shared" ca="1" si="51"/>
        <v>0.59481080392826136</v>
      </c>
      <c r="AS25">
        <f t="shared" ca="1" si="6"/>
        <v>1.1187552371808103</v>
      </c>
      <c r="AT25">
        <f t="shared" ca="1" si="7"/>
        <v>-1.7779283536523138E-6</v>
      </c>
      <c r="AU25">
        <f t="shared" ca="1" si="83"/>
        <v>0.11875523718081027</v>
      </c>
      <c r="AV25">
        <f t="shared" ca="1" si="84"/>
        <v>-66794.163520063681</v>
      </c>
      <c r="AW25">
        <f t="shared" ca="1" si="85"/>
        <v>-1.1852826115069103E-6</v>
      </c>
      <c r="AX25">
        <f t="shared" ca="1" si="86"/>
        <v>0.59480961864564985</v>
      </c>
      <c r="AY25">
        <f t="shared" ca="1" si="18"/>
        <v>0.1</v>
      </c>
      <c r="AZ25">
        <f t="shared" ca="1" si="19"/>
        <v>0.59480961864564985</v>
      </c>
      <c r="BA25">
        <f t="shared" ca="1" si="56"/>
        <v>2.7576319569702381</v>
      </c>
      <c r="BB25">
        <f t="shared" ca="1" si="57"/>
        <v>0.59481105404700252</v>
      </c>
      <c r="BC25">
        <f t="shared" ca="1" si="8"/>
        <v>1.4772979210260857</v>
      </c>
      <c r="BD25">
        <f t="shared" ca="1" si="9"/>
        <v>-1.4354013526673981E-6</v>
      </c>
      <c r="BE25">
        <f t="shared" ca="1" si="87"/>
        <v>0.4772979210260857</v>
      </c>
      <c r="BF25">
        <f t="shared" ca="1" si="88"/>
        <v>-332518.79005068913</v>
      </c>
      <c r="BG25">
        <f t="shared" ca="1" si="89"/>
        <v>-9.5693375547121845E-7</v>
      </c>
      <c r="BH25">
        <f t="shared" ca="1" si="90"/>
        <v>0.59481009711324706</v>
      </c>
      <c r="BI25">
        <f t="shared" ca="1" si="20"/>
        <v>0.1</v>
      </c>
      <c r="BJ25">
        <f t="shared" ca="1" si="21"/>
        <v>0.59481009711324706</v>
      </c>
    </row>
    <row r="27" spans="1:62" x14ac:dyDescent="0.15">
      <c r="A27" t="s">
        <v>22</v>
      </c>
      <c r="B27" t="s">
        <v>45</v>
      </c>
      <c r="C27" t="s">
        <v>46</v>
      </c>
      <c r="D27" t="s">
        <v>35</v>
      </c>
      <c r="E27" t="s">
        <v>36</v>
      </c>
      <c r="F27" t="s">
        <v>37</v>
      </c>
      <c r="G27" t="s">
        <v>47</v>
      </c>
      <c r="H27" t="s">
        <v>39</v>
      </c>
    </row>
    <row r="28" spans="1:62" x14ac:dyDescent="0.15">
      <c r="A28">
        <v>1</v>
      </c>
      <c r="B28">
        <f t="shared" ref="B28:B47" ca="1" si="91">A6</f>
        <v>0.14115916418638647</v>
      </c>
      <c r="C28">
        <f t="shared" ref="C28:C47" ca="1" si="92">C6</f>
        <v>-1.6455942276469757</v>
      </c>
      <c r="D28">
        <f t="shared" ref="D28:D47" ca="1" si="93">M6</f>
        <v>-3.0433295636046696</v>
      </c>
      <c r="E28">
        <f t="shared" ref="E28:E47" ca="1" si="94">W6</f>
        <v>-4.3001414072930935</v>
      </c>
      <c r="F28">
        <f t="shared" ref="F28:F47" ca="1" si="95">AG6</f>
        <v>-6.2354710762215264</v>
      </c>
      <c r="G28">
        <f t="shared" ref="G28:G47" ca="1" si="96">AQ6</f>
        <v>-7.4918812664576002</v>
      </c>
      <c r="H28">
        <f t="shared" ref="H28:H47" ca="1" si="97">BA6</f>
        <v>-9.1315000018491581</v>
      </c>
    </row>
    <row r="29" spans="1:62" x14ac:dyDescent="0.15">
      <c r="A29">
        <v>2</v>
      </c>
      <c r="B29">
        <f t="shared" ca="1" si="91"/>
        <v>0.73596910451837694</v>
      </c>
      <c r="C29">
        <f t="shared" ca="1" si="92"/>
        <v>-1.0270516841294106</v>
      </c>
      <c r="D29">
        <f t="shared" ca="1" si="93"/>
        <v>-2.3081447747315975</v>
      </c>
      <c r="E29">
        <f t="shared" ca="1" si="94"/>
        <v>-3.6009361627777046</v>
      </c>
      <c r="F29">
        <f t="shared" ca="1" si="95"/>
        <v>-5.5474651555443932</v>
      </c>
      <c r="G29">
        <f t="shared" ca="1" si="96"/>
        <v>-6.7514898449996101</v>
      </c>
      <c r="H29">
        <f t="shared" ca="1" si="97"/>
        <v>-8.3355421805237597</v>
      </c>
    </row>
    <row r="30" spans="1:62" x14ac:dyDescent="0.15">
      <c r="A30">
        <v>3</v>
      </c>
      <c r="B30">
        <f t="shared" ca="1" si="91"/>
        <v>1.3307790448503676</v>
      </c>
      <c r="C30">
        <f t="shared" ca="1" si="92"/>
        <v>-0.44797927829183659</v>
      </c>
      <c r="D30">
        <f t="shared" ca="1" si="93"/>
        <v>-1.6591017461226354</v>
      </c>
      <c r="E30">
        <f t="shared" ca="1" si="94"/>
        <v>-2.9340584722243812</v>
      </c>
      <c r="F30">
        <f t="shared" ca="1" si="95"/>
        <v>-4.8734913261461603</v>
      </c>
      <c r="G30">
        <f t="shared" ca="1" si="96"/>
        <v>-6.0520801075167494</v>
      </c>
      <c r="H30">
        <f t="shared" ca="1" si="97"/>
        <v>-7.6018930866236589</v>
      </c>
    </row>
    <row r="31" spans="1:62" x14ac:dyDescent="0.15">
      <c r="A31">
        <v>4</v>
      </c>
      <c r="B31">
        <f t="shared" ca="1" si="91"/>
        <v>1.9255889851823582</v>
      </c>
      <c r="C31">
        <f t="shared" ca="1" si="92"/>
        <v>0.15735710334919184</v>
      </c>
      <c r="D31">
        <f t="shared" ca="1" si="93"/>
        <v>-1.0379815307348959</v>
      </c>
      <c r="E31">
        <f t="shared" ca="1" si="94"/>
        <v>-2.2967034447697512</v>
      </c>
      <c r="F31">
        <f t="shared" ca="1" si="95"/>
        <v>-4.2237661077939581</v>
      </c>
      <c r="G31">
        <f t="shared" ca="1" si="96"/>
        <v>-5.3837940135955149</v>
      </c>
      <c r="H31">
        <f t="shared" ca="1" si="97"/>
        <v>-6.9108609968852921</v>
      </c>
    </row>
    <row r="32" spans="1:62" x14ac:dyDescent="0.15">
      <c r="A32">
        <v>5</v>
      </c>
      <c r="B32">
        <f t="shared" ca="1" si="91"/>
        <v>2.5203989255143489</v>
      </c>
      <c r="C32">
        <f t="shared" ca="1" si="92"/>
        <v>0.74516562736630432</v>
      </c>
      <c r="D32">
        <f t="shared" ca="1" si="93"/>
        <v>-0.43833335743362012</v>
      </c>
      <c r="E32">
        <f t="shared" ca="1" si="94"/>
        <v>-1.6837912964954103</v>
      </c>
      <c r="F32">
        <f t="shared" ca="1" si="95"/>
        <v>-3.5984149525408933</v>
      </c>
      <c r="G32">
        <f t="shared" ca="1" si="96"/>
        <v>-4.7424827194688053</v>
      </c>
      <c r="H32">
        <f t="shared" ca="1" si="97"/>
        <v>-6.2524104833186316</v>
      </c>
    </row>
    <row r="33" spans="1:10" x14ac:dyDescent="0.15">
      <c r="A33">
        <v>6</v>
      </c>
      <c r="B33">
        <f t="shared" ca="1" si="91"/>
        <v>3.1152088658463395</v>
      </c>
      <c r="C33">
        <f t="shared" ca="1" si="92"/>
        <v>1.3446501519102831</v>
      </c>
      <c r="D33">
        <f t="shared" ca="1" si="93"/>
        <v>0.16120573292439089</v>
      </c>
      <c r="E33">
        <f t="shared" ca="1" si="94"/>
        <v>-1.079709715212871</v>
      </c>
      <c r="F33">
        <f t="shared" ca="1" si="95"/>
        <v>-2.9871874689580609</v>
      </c>
      <c r="G33">
        <f t="shared" ca="1" si="96"/>
        <v>-4.1203822463399193</v>
      </c>
      <c r="H33">
        <f t="shared" ca="1" si="97"/>
        <v>-5.6178872355923488</v>
      </c>
    </row>
    <row r="34" spans="1:10" x14ac:dyDescent="0.15">
      <c r="A34">
        <v>7</v>
      </c>
      <c r="B34">
        <f t="shared" ca="1" si="91"/>
        <v>3.7100188061783301</v>
      </c>
      <c r="C34">
        <f t="shared" ca="1" si="92"/>
        <v>1.936346869700309</v>
      </c>
      <c r="D34">
        <f t="shared" ca="1" si="93"/>
        <v>0.75555520290506573</v>
      </c>
      <c r="E34">
        <f t="shared" ca="1" si="94"/>
        <v>-0.48207100394504387</v>
      </c>
      <c r="F34">
        <f t="shared" ca="1" si="95"/>
        <v>-2.3849962721954836</v>
      </c>
      <c r="G34">
        <f t="shared" ca="1" si="96"/>
        <v>-3.5111769162306929</v>
      </c>
      <c r="H34">
        <f t="shared" ca="1" si="97"/>
        <v>-5.0000931015454961</v>
      </c>
    </row>
    <row r="35" spans="1:10" x14ac:dyDescent="0.15">
      <c r="A35">
        <v>8</v>
      </c>
      <c r="B35">
        <f t="shared" ca="1" si="91"/>
        <v>4.3048287465103208</v>
      </c>
      <c r="C35">
        <f t="shared" ca="1" si="92"/>
        <v>2.533233679016436</v>
      </c>
      <c r="D35">
        <f t="shared" ca="1" si="93"/>
        <v>1.3516001434296587</v>
      </c>
      <c r="E35">
        <f t="shared" ca="1" si="94"/>
        <v>0.11450638789184786</v>
      </c>
      <c r="F35">
        <f t="shared" ca="1" si="95"/>
        <v>-1.7865437137406535</v>
      </c>
      <c r="G35">
        <f t="shared" ca="1" si="96"/>
        <v>-2.9090305040750719</v>
      </c>
      <c r="H35">
        <f t="shared" ca="1" si="97"/>
        <v>-4.3926736124412757</v>
      </c>
    </row>
    <row r="36" spans="1:10" x14ac:dyDescent="0.15">
      <c r="A36">
        <v>9</v>
      </c>
      <c r="B36">
        <f t="shared" ca="1" si="91"/>
        <v>4.8996386868423114</v>
      </c>
      <c r="C36">
        <f t="shared" ca="1" si="92"/>
        <v>3.1266596625573908</v>
      </c>
      <c r="D36">
        <f t="shared" ca="1" si="93"/>
        <v>1.9459033594939852</v>
      </c>
      <c r="E36">
        <f t="shared" ca="1" si="94"/>
        <v>0.70957010581329483</v>
      </c>
      <c r="F36">
        <f t="shared" ca="1" si="95"/>
        <v>-1.1903489617005834</v>
      </c>
      <c r="G36">
        <f t="shared" ca="1" si="96"/>
        <v>-2.3108183768208357</v>
      </c>
      <c r="H36">
        <f t="shared" ca="1" si="97"/>
        <v>-3.7913725744674567</v>
      </c>
    </row>
    <row r="37" spans="1:10" x14ac:dyDescent="0.15">
      <c r="A37">
        <v>10</v>
      </c>
      <c r="B37">
        <f t="shared" ca="1" si="91"/>
        <v>5.494448627174302</v>
      </c>
      <c r="C37">
        <f t="shared" ca="1" si="92"/>
        <v>3.7223925156580551</v>
      </c>
      <c r="D37">
        <f t="shared" ca="1" si="93"/>
        <v>2.5411609150537959</v>
      </c>
      <c r="E37">
        <f t="shared" ca="1" si="94"/>
        <v>1.304763066479725</v>
      </c>
      <c r="F37">
        <f t="shared" ca="1" si="95"/>
        <v>-0.59482194655057519</v>
      </c>
      <c r="G37">
        <f t="shared" ca="1" si="96"/>
        <v>-1.7143895486997138</v>
      </c>
      <c r="H37">
        <f t="shared" ca="1" si="97"/>
        <v>-3.1933141409572574</v>
      </c>
    </row>
    <row r="38" spans="1:10" x14ac:dyDescent="0.15">
      <c r="A38">
        <v>11</v>
      </c>
      <c r="B38">
        <f t="shared" ca="1" si="91"/>
        <v>6.0892585675062927</v>
      </c>
      <c r="C38">
        <f t="shared" ca="1" si="92"/>
        <v>4.3165873035160764</v>
      </c>
      <c r="D38">
        <f t="shared" ca="1" si="93"/>
        <v>3.1357106546818554</v>
      </c>
      <c r="E38">
        <f t="shared" ca="1" si="94"/>
        <v>1.8995274080243745</v>
      </c>
      <c r="F38">
        <f t="shared" ca="1" si="95"/>
        <v>1.9669142435341236E-4</v>
      </c>
      <c r="G38">
        <f t="shared" ca="1" si="96"/>
        <v>-1.1188989810109158</v>
      </c>
      <c r="H38">
        <f t="shared" ca="1" si="97"/>
        <v>-2.5969660813274285</v>
      </c>
    </row>
    <row r="39" spans="1:10" x14ac:dyDescent="0.15">
      <c r="A39">
        <v>12</v>
      </c>
      <c r="B39">
        <f t="shared" ca="1" si="91"/>
        <v>6.6840685078382833</v>
      </c>
      <c r="C39">
        <f t="shared" ca="1" si="92"/>
        <v>4.9118073998775102</v>
      </c>
      <c r="D39">
        <f t="shared" ca="1" si="93"/>
        <v>3.7307075739983717</v>
      </c>
      <c r="E39">
        <f t="shared" ca="1" si="94"/>
        <v>2.4944468268435518</v>
      </c>
      <c r="F39">
        <f t="shared" ca="1" si="95"/>
        <v>0.59514918451182708</v>
      </c>
      <c r="G39">
        <f t="shared" ca="1" si="96"/>
        <v>-0.52376685858855154</v>
      </c>
      <c r="H39">
        <f t="shared" ca="1" si="97"/>
        <v>-2.0014283021428056</v>
      </c>
    </row>
    <row r="40" spans="1:10" x14ac:dyDescent="0.15">
      <c r="A40">
        <v>13</v>
      </c>
      <c r="B40">
        <f t="shared" ca="1" si="91"/>
        <v>7.278878448170274</v>
      </c>
      <c r="C40">
        <f t="shared" ca="1" si="92"/>
        <v>5.5063439270714998</v>
      </c>
      <c r="D40">
        <f t="shared" ca="1" si="93"/>
        <v>4.3253976955547593</v>
      </c>
      <c r="E40">
        <f t="shared" ca="1" si="94"/>
        <v>3.089213405567441</v>
      </c>
      <c r="F40">
        <f t="shared" ca="1" si="95"/>
        <v>1.1899777389614921</v>
      </c>
      <c r="G40">
        <f t="shared" ca="1" si="96"/>
        <v>7.1162971474023839E-2</v>
      </c>
      <c r="H40">
        <f t="shared" ca="1" si="97"/>
        <v>-1.4062957363066775</v>
      </c>
    </row>
    <row r="41" spans="1:10" x14ac:dyDescent="0.15">
      <c r="A41">
        <v>14</v>
      </c>
      <c r="B41">
        <f t="shared" ca="1" si="91"/>
        <v>7.8736883885022646</v>
      </c>
      <c r="C41">
        <f t="shared" ca="1" si="92"/>
        <v>6.1013361535773836</v>
      </c>
      <c r="D41">
        <f t="shared" ca="1" si="93"/>
        <v>4.920289276376236</v>
      </c>
      <c r="E41">
        <f t="shared" ca="1" si="94"/>
        <v>3.6840633263707243</v>
      </c>
      <c r="F41">
        <f t="shared" ca="1" si="95"/>
        <v>1.7848205377033102</v>
      </c>
      <c r="G41">
        <f t="shared" ca="1" si="96"/>
        <v>0.66603478774376279</v>
      </c>
      <c r="H41">
        <f t="shared" ca="1" si="97"/>
        <v>-0.81133698768533213</v>
      </c>
    </row>
    <row r="42" spans="1:10" x14ac:dyDescent="0.15">
      <c r="A42">
        <v>15</v>
      </c>
      <c r="B42">
        <f t="shared" ca="1" si="91"/>
        <v>8.4684983288342544</v>
      </c>
      <c r="C42">
        <f t="shared" ca="1" si="92"/>
        <v>6.6960245745746239</v>
      </c>
      <c r="D42">
        <f t="shared" ca="1" si="93"/>
        <v>5.5150454426690008</v>
      </c>
      <c r="E42">
        <f t="shared" ca="1" si="94"/>
        <v>4.27885074830278</v>
      </c>
      <c r="F42">
        <f t="shared" ca="1" si="95"/>
        <v>2.3796264189508829</v>
      </c>
      <c r="G42">
        <f t="shared" ca="1" si="96"/>
        <v>1.2608626514004833</v>
      </c>
      <c r="H42">
        <f t="shared" ca="1" si="97"/>
        <v>-0.21646549171884621</v>
      </c>
    </row>
    <row r="43" spans="1:10" x14ac:dyDescent="0.15">
      <c r="A43">
        <v>16</v>
      </c>
      <c r="B43">
        <f t="shared" ca="1" si="91"/>
        <v>9.0633082691662441</v>
      </c>
      <c r="C43">
        <f t="shared" ca="1" si="92"/>
        <v>7.2909155299202189</v>
      </c>
      <c r="D43">
        <f t="shared" ca="1" si="93"/>
        <v>6.1098914794775956</v>
      </c>
      <c r="E43">
        <f t="shared" ca="1" si="94"/>
        <v>4.8736772484350901</v>
      </c>
      <c r="F43">
        <f t="shared" ca="1" si="95"/>
        <v>2.9744460461741444</v>
      </c>
      <c r="G43">
        <f t="shared" ca="1" si="96"/>
        <v>1.8556850241650358</v>
      </c>
      <c r="H43">
        <f t="shared" ca="1" si="97"/>
        <v>0.378373256008111</v>
      </c>
      <c r="J43">
        <v>1</v>
      </c>
    </row>
    <row r="44" spans="1:10" x14ac:dyDescent="0.15">
      <c r="A44">
        <v>17</v>
      </c>
      <c r="B44">
        <f t="shared" ca="1" si="91"/>
        <v>9.6581182094982339</v>
      </c>
      <c r="C44">
        <f t="shared" ca="1" si="92"/>
        <v>7.8856714611873926</v>
      </c>
      <c r="D44">
        <f t="shared" ca="1" si="93"/>
        <v>6.704677450910693</v>
      </c>
      <c r="E44">
        <f t="shared" ca="1" si="94"/>
        <v>5.4684767302073416</v>
      </c>
      <c r="F44">
        <f t="shared" ca="1" si="95"/>
        <v>3.5692522431468801</v>
      </c>
      <c r="G44">
        <f t="shared" ca="1" si="96"/>
        <v>2.4504966133132067</v>
      </c>
      <c r="H44">
        <f t="shared" ca="1" si="97"/>
        <v>0.97319389818758517</v>
      </c>
    </row>
    <row r="45" spans="1:10" x14ac:dyDescent="0.15">
      <c r="A45">
        <v>18</v>
      </c>
      <c r="B45">
        <f t="shared" ca="1" si="91"/>
        <v>10.252928149830224</v>
      </c>
      <c r="C45">
        <f t="shared" ca="1" si="92"/>
        <v>8.4805174079821573</v>
      </c>
      <c r="D45">
        <f t="shared" ca="1" si="93"/>
        <v>7.2995034081258288</v>
      </c>
      <c r="E45">
        <f t="shared" ca="1" si="94"/>
        <v>6.0632938626045521</v>
      </c>
      <c r="F45">
        <f t="shared" ca="1" si="95"/>
        <v>4.1640657304173745</v>
      </c>
      <c r="G45">
        <f t="shared" ca="1" si="96"/>
        <v>3.0453094678796311</v>
      </c>
      <c r="H45">
        <f t="shared" ca="1" si="97"/>
        <v>1.5680093486391442</v>
      </c>
    </row>
    <row r="46" spans="1:10" x14ac:dyDescent="0.15">
      <c r="A46">
        <v>19</v>
      </c>
      <c r="B46">
        <f t="shared" ca="1" si="91"/>
        <v>10.847738090162213</v>
      </c>
      <c r="C46">
        <f t="shared" ca="1" si="92"/>
        <v>9.075303344192136</v>
      </c>
      <c r="D46">
        <f t="shared" ca="1" si="93"/>
        <v>7.8943026856541945</v>
      </c>
      <c r="E46">
        <f t="shared" ca="1" si="94"/>
        <v>6.658099091905834</v>
      </c>
      <c r="F46">
        <f t="shared" ca="1" si="95"/>
        <v>4.7588737123834877</v>
      </c>
      <c r="G46">
        <f t="shared" ca="1" si="96"/>
        <v>3.6401190740680622</v>
      </c>
      <c r="H46">
        <f t="shared" ca="1" si="97"/>
        <v>2.1628209029232357</v>
      </c>
    </row>
    <row r="47" spans="1:10" x14ac:dyDescent="0.15">
      <c r="A47">
        <v>20</v>
      </c>
      <c r="B47">
        <f t="shared" ca="1" si="91"/>
        <v>11.442548030494203</v>
      </c>
      <c r="C47">
        <f t="shared" ca="1" si="92"/>
        <v>9.6701292873550155</v>
      </c>
      <c r="D47">
        <f t="shared" ca="1" si="93"/>
        <v>8.4891197407086789</v>
      </c>
      <c r="E47">
        <f t="shared" ca="1" si="94"/>
        <v>7.2529122051083679</v>
      </c>
      <c r="F47">
        <f t="shared" ca="1" si="95"/>
        <v>5.3536851151771341</v>
      </c>
      <c r="G47">
        <f t="shared" ca="1" si="96"/>
        <v>4.2349298779963238</v>
      </c>
      <c r="H47">
        <f t="shared" ca="1" si="97"/>
        <v>2.7576319569702381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1"/>
  <sheetViews>
    <sheetView tabSelected="1" topLeftCell="A7" workbookViewId="0">
      <selection activeCell="I21" sqref="I21"/>
    </sheetView>
  </sheetViews>
  <sheetFormatPr defaultRowHeight="13.5" x14ac:dyDescent="0.15"/>
  <sheetData>
    <row r="1" spans="1:8" x14ac:dyDescent="0.15">
      <c r="A1">
        <v>120</v>
      </c>
      <c r="B1">
        <f>A1*PI()/180</f>
        <v>2.0943951023931953</v>
      </c>
      <c r="C1">
        <f>COS(B1)</f>
        <v>-0.49999999999999978</v>
      </c>
      <c r="D1">
        <f>-SIN(B1)</f>
        <v>-0.86602540378443871</v>
      </c>
    </row>
    <row r="2" spans="1:8" x14ac:dyDescent="0.15">
      <c r="C2">
        <f>SIN(B1)</f>
        <v>0.86602540378443871</v>
      </c>
      <c r="D2">
        <f>COS(B1)</f>
        <v>-0.49999999999999978</v>
      </c>
    </row>
    <row r="4" spans="1:8" x14ac:dyDescent="0.15">
      <c r="D4" t="s">
        <v>52</v>
      </c>
      <c r="E4" t="s">
        <v>1</v>
      </c>
      <c r="F4" t="s">
        <v>50</v>
      </c>
      <c r="G4" t="s">
        <v>51</v>
      </c>
    </row>
    <row r="5" spans="1:8" x14ac:dyDescent="0.15">
      <c r="A5">
        <v>1</v>
      </c>
      <c r="B5">
        <f>IF(A5=1,1,B4*A5)</f>
        <v>1</v>
      </c>
      <c r="C5">
        <f>IF(A5&lt;3,A5,C1+C4)</f>
        <v>1</v>
      </c>
      <c r="D5">
        <f>1/SQRT(2)</f>
        <v>0.70710678118654746</v>
      </c>
      <c r="E5">
        <f>1/SQRT(2)</f>
        <v>0.70710678118654746</v>
      </c>
      <c r="F5">
        <f t="array" ref="F5:G5">TRANSPOSE(MMULT($C$1:$D$2,TRANSPOSE(D5:E5)))</f>
        <v>-0.96592582628906798</v>
      </c>
      <c r="G5">
        <v>0.25881904510252091</v>
      </c>
      <c r="H5">
        <f>SQRT(F5^2+G5^2)</f>
        <v>0.99999999999999978</v>
      </c>
    </row>
    <row r="6" spans="1:8" x14ac:dyDescent="0.15">
      <c r="A6">
        <v>2</v>
      </c>
      <c r="B6">
        <f t="shared" ref="B6:B14" si="0">IF(A6=1,1,B5*A6)</f>
        <v>2</v>
      </c>
      <c r="C6">
        <f t="shared" ref="C6:C34" si="1">IF(A6&lt;3,A6,C4+C5)</f>
        <v>2</v>
      </c>
      <c r="D6">
        <f>D5+F5*$C6</f>
        <v>-1.2247448713915885</v>
      </c>
      <c r="E6">
        <f>E5+G5*$C6</f>
        <v>1.2247448713915894</v>
      </c>
      <c r="F6">
        <f t="array" ref="F6:G6">TRANSPOSE(MMULT($C$1:$D$2,TRANSPOSE(F5:G5)))</f>
        <v>0.25881904510252024</v>
      </c>
      <c r="G6">
        <v>-0.96592582628906809</v>
      </c>
    </row>
    <row r="7" spans="1:8" x14ac:dyDescent="0.15">
      <c r="A7">
        <v>3</v>
      </c>
      <c r="B7">
        <f t="shared" si="0"/>
        <v>6</v>
      </c>
      <c r="C7">
        <f t="shared" si="1"/>
        <v>3</v>
      </c>
      <c r="D7">
        <f>D6+F6*$C7</f>
        <v>-0.44828773608402783</v>
      </c>
      <c r="E7">
        <f>E6+G6*$C7</f>
        <v>-1.6730326074756148</v>
      </c>
      <c r="F7">
        <f t="array" ref="F7:G7">TRANSPOSE(MMULT($C$1:$D$2,TRANSPOSE(F6:G6)))</f>
        <v>0.70710678118654779</v>
      </c>
      <c r="G7">
        <v>0.7071067811865468</v>
      </c>
    </row>
    <row r="8" spans="1:8" x14ac:dyDescent="0.15">
      <c r="A8">
        <v>4</v>
      </c>
      <c r="B8">
        <f t="shared" si="0"/>
        <v>24</v>
      </c>
      <c r="C8">
        <f t="shared" si="1"/>
        <v>5</v>
      </c>
      <c r="D8">
        <f>D7+F7*$C8</f>
        <v>3.0872461698487115</v>
      </c>
      <c r="E8">
        <f>E7+G7*$C8</f>
        <v>1.8625012984571194</v>
      </c>
      <c r="F8">
        <f t="array" ref="F8:G8">TRANSPOSE(MMULT($C$1:$D$2,TRANSPOSE(F7:G7)))</f>
        <v>-0.96592582628906765</v>
      </c>
      <c r="G8">
        <v>0.25881904510252157</v>
      </c>
    </row>
    <row r="9" spans="1:8" x14ac:dyDescent="0.15">
      <c r="A9">
        <v>5</v>
      </c>
      <c r="B9">
        <f t="shared" si="0"/>
        <v>120</v>
      </c>
      <c r="C9">
        <f t="shared" si="1"/>
        <v>8</v>
      </c>
      <c r="D9">
        <f>D8+F8*$C9</f>
        <v>-4.6401604404638297</v>
      </c>
      <c r="E9">
        <f>E8+G8*$C9</f>
        <v>3.933053659277292</v>
      </c>
      <c r="F9">
        <f t="array" ref="F9:G9">TRANSPOSE(MMULT($C$1:$D$2,TRANSPOSE(F8:G8)))</f>
        <v>0.25881904510251952</v>
      </c>
      <c r="G9">
        <v>-0.96592582628906809</v>
      </c>
    </row>
    <row r="10" spans="1:8" x14ac:dyDescent="0.15">
      <c r="A10">
        <v>6</v>
      </c>
      <c r="B10">
        <f t="shared" si="0"/>
        <v>720</v>
      </c>
      <c r="C10">
        <f t="shared" si="1"/>
        <v>13</v>
      </c>
      <c r="D10">
        <f>D9+F9*$C10</f>
        <v>-1.2755128541310761</v>
      </c>
      <c r="E10">
        <f>E9+G9*$C10</f>
        <v>-8.6239820824805928</v>
      </c>
      <c r="F10">
        <f t="array" ref="F10:G10">TRANSPOSE(MMULT($C$1:$D$2,TRANSPOSE(F9:G9)))</f>
        <v>0.70710678118654813</v>
      </c>
      <c r="G10">
        <v>0.70710678118654613</v>
      </c>
    </row>
    <row r="11" spans="1:8" x14ac:dyDescent="0.15">
      <c r="A11">
        <v>7</v>
      </c>
      <c r="B11">
        <f t="shared" si="0"/>
        <v>5040</v>
      </c>
      <c r="C11">
        <f t="shared" si="1"/>
        <v>21</v>
      </c>
      <c r="D11">
        <f>D10+F10*$C11</f>
        <v>13.573729550786435</v>
      </c>
      <c r="E11">
        <f>E10+G10*$C11</f>
        <v>6.2252603224368759</v>
      </c>
      <c r="F11">
        <f t="array" ref="F11:G11">TRANSPOSE(MMULT($C$1:$D$2,TRANSPOSE(F10:G10)))</f>
        <v>-0.96592582628906731</v>
      </c>
      <c r="G11">
        <v>0.25881904510252224</v>
      </c>
    </row>
    <row r="12" spans="1:8" x14ac:dyDescent="0.15">
      <c r="A12">
        <v>8</v>
      </c>
      <c r="B12">
        <f t="shared" si="0"/>
        <v>40320</v>
      </c>
      <c r="C12">
        <f t="shared" si="1"/>
        <v>34</v>
      </c>
      <c r="D12">
        <f>D11+F11*$C12</f>
        <v>-19.267748543041851</v>
      </c>
      <c r="E12">
        <f>E11+G11*$C12</f>
        <v>15.025107855922633</v>
      </c>
      <c r="F12">
        <f t="array" ref="F12:G12">TRANSPOSE(MMULT($C$1:$D$2,TRANSPOSE(F11:G11)))</f>
        <v>0.25881904510251874</v>
      </c>
      <c r="G12">
        <v>-0.9659258262890682</v>
      </c>
    </row>
    <row r="13" spans="1:8" x14ac:dyDescent="0.15">
      <c r="A13">
        <v>9</v>
      </c>
      <c r="B13">
        <f t="shared" si="0"/>
        <v>362880</v>
      </c>
      <c r="C13">
        <f t="shared" si="1"/>
        <v>55</v>
      </c>
      <c r="D13">
        <f>D12+F12*$C13</f>
        <v>-5.0327010624033193</v>
      </c>
      <c r="E13">
        <f>E12+G12*$C13</f>
        <v>-38.100812589976115</v>
      </c>
      <c r="F13">
        <f t="array" ref="F13:G13">TRANSPOSE(MMULT($C$1:$D$2,TRANSPOSE(F12:G12)))</f>
        <v>0.70710678118654857</v>
      </c>
      <c r="G13">
        <v>0.70710678118654546</v>
      </c>
    </row>
    <row r="14" spans="1:8" x14ac:dyDescent="0.15">
      <c r="A14">
        <v>10</v>
      </c>
      <c r="B14">
        <f t="shared" si="0"/>
        <v>3628800</v>
      </c>
      <c r="C14">
        <f t="shared" si="1"/>
        <v>89</v>
      </c>
      <c r="D14">
        <f>D13+F13*$C14</f>
        <v>57.899802463199507</v>
      </c>
      <c r="E14">
        <f>E13+G13*$C14</f>
        <v>24.831690935626433</v>
      </c>
      <c r="F14">
        <f t="array" ref="F14:G14">TRANSPOSE(MMULT($C$1:$D$2,TRANSPOSE(F13:G13)))</f>
        <v>-0.96592582628906687</v>
      </c>
      <c r="G14">
        <v>0.2588190451025229</v>
      </c>
    </row>
    <row r="18" spans="1:9" x14ac:dyDescent="0.15">
      <c r="A18">
        <f ca="1">RAND()*100+100</f>
        <v>159.0284585746499</v>
      </c>
      <c r="B18">
        <v>127.3850984080068</v>
      </c>
      <c r="C18">
        <v>1</v>
      </c>
      <c r="D18">
        <v>100</v>
      </c>
      <c r="E18">
        <f>VLOOKUP(D18,B18:C41,2,FALSE)</f>
        <v>5</v>
      </c>
      <c r="F18">
        <f>MATCH(D18,B18:B41,0)</f>
        <v>5</v>
      </c>
      <c r="G18">
        <f ca="1">OFFSET(B18,0,0,24,1)</f>
        <v>127.3850984080068</v>
      </c>
      <c r="H18" t="e">
        <f t="array" aca="1" ref="H18" ca="1">MATCH(D18,G18,0)</f>
        <v>#N/A</v>
      </c>
      <c r="I18">
        <f ca="1">MATCH(D18,OFFSET(B18,0,0,24,1),0)</f>
        <v>5</v>
      </c>
    </row>
    <row r="19" spans="1:9" x14ac:dyDescent="0.15">
      <c r="A19">
        <v>200</v>
      </c>
      <c r="B19">
        <v>200</v>
      </c>
      <c r="C19">
        <v>2</v>
      </c>
      <c r="I19">
        <f ca="1">MATCH($D$18,OFFSET($B$18,I18,0,24-I18,1),0)+I18</f>
        <v>11</v>
      </c>
    </row>
    <row r="20" spans="1:9" x14ac:dyDescent="0.15">
      <c r="A20">
        <f t="shared" ref="A20:A41" ca="1" si="2">RAND()*100+100</f>
        <v>140.91413895122184</v>
      </c>
      <c r="B20">
        <v>185.41097559864829</v>
      </c>
      <c r="C20">
        <v>3</v>
      </c>
      <c r="I20">
        <f t="shared" ref="I20:I24" ca="1" si="3">MATCH($D$18,OFFSET($B$18,I19,0,24-I19,1),0)+I19</f>
        <v>21</v>
      </c>
    </row>
    <row r="21" spans="1:9" x14ac:dyDescent="0.15">
      <c r="A21">
        <f t="shared" ca="1" si="2"/>
        <v>141.31560999838803</v>
      </c>
      <c r="B21">
        <v>170.4451289756027</v>
      </c>
      <c r="C21">
        <v>4</v>
      </c>
    </row>
    <row r="22" spans="1:9" x14ac:dyDescent="0.15">
      <c r="A22">
        <v>100</v>
      </c>
      <c r="B22">
        <v>100</v>
      </c>
      <c r="C22">
        <v>5</v>
      </c>
    </row>
    <row r="23" spans="1:9" x14ac:dyDescent="0.15">
      <c r="A23">
        <f t="shared" ca="1" si="2"/>
        <v>184.57202755254707</v>
      </c>
      <c r="B23">
        <v>144.65091612193334</v>
      </c>
      <c r="C23">
        <v>6</v>
      </c>
    </row>
    <row r="24" spans="1:9" x14ac:dyDescent="0.15">
      <c r="A24">
        <f t="shared" ca="1" si="2"/>
        <v>187.46280468634862</v>
      </c>
      <c r="B24">
        <v>108.33892697475046</v>
      </c>
      <c r="C24">
        <v>7</v>
      </c>
    </row>
    <row r="25" spans="1:9" x14ac:dyDescent="0.15">
      <c r="A25">
        <f t="shared" ca="1" si="2"/>
        <v>177.60476905708973</v>
      </c>
      <c r="B25">
        <v>165.424261890926</v>
      </c>
      <c r="C25">
        <v>8</v>
      </c>
    </row>
    <row r="26" spans="1:9" x14ac:dyDescent="0.15">
      <c r="A26">
        <f t="shared" ca="1" si="2"/>
        <v>131.12296058299023</v>
      </c>
      <c r="B26">
        <v>187.93065606470728</v>
      </c>
      <c r="C26">
        <v>9</v>
      </c>
    </row>
    <row r="27" spans="1:9" x14ac:dyDescent="0.15">
      <c r="A27">
        <f t="shared" ca="1" si="2"/>
        <v>199.35609227682545</v>
      </c>
      <c r="B27">
        <v>142.11899925858623</v>
      </c>
      <c r="C27">
        <v>10</v>
      </c>
    </row>
    <row r="28" spans="1:9" x14ac:dyDescent="0.15">
      <c r="A28">
        <v>100</v>
      </c>
      <c r="B28">
        <v>100</v>
      </c>
      <c r="C28">
        <v>11</v>
      </c>
    </row>
    <row r="29" spans="1:9" x14ac:dyDescent="0.15">
      <c r="A29">
        <f t="shared" ca="1" si="2"/>
        <v>107.83748400758853</v>
      </c>
      <c r="B29">
        <v>141.88013690912143</v>
      </c>
      <c r="C29">
        <v>12</v>
      </c>
    </row>
    <row r="30" spans="1:9" x14ac:dyDescent="0.15">
      <c r="A30">
        <v>200</v>
      </c>
      <c r="B30">
        <v>200</v>
      </c>
      <c r="C30">
        <v>13</v>
      </c>
    </row>
    <row r="31" spans="1:9" x14ac:dyDescent="0.15">
      <c r="A31">
        <f t="shared" ca="1" si="2"/>
        <v>112.83063670034085</v>
      </c>
      <c r="B31">
        <v>163.58702724356013</v>
      </c>
      <c r="C31">
        <v>14</v>
      </c>
    </row>
    <row r="32" spans="1:9" x14ac:dyDescent="0.15">
      <c r="A32">
        <f t="shared" ca="1" si="2"/>
        <v>138.0194796846649</v>
      </c>
      <c r="B32">
        <v>114.32152550437542</v>
      </c>
      <c r="C32">
        <v>15</v>
      </c>
    </row>
    <row r="33" spans="1:3" x14ac:dyDescent="0.15">
      <c r="A33">
        <f t="shared" ca="1" si="2"/>
        <v>111.64636679371471</v>
      </c>
      <c r="B33">
        <v>116.17476530411774</v>
      </c>
      <c r="C33">
        <v>16</v>
      </c>
    </row>
    <row r="34" spans="1:3" x14ac:dyDescent="0.15">
      <c r="A34">
        <f t="shared" ca="1" si="2"/>
        <v>117.86422789934925</v>
      </c>
      <c r="B34">
        <v>167.67265171356718</v>
      </c>
      <c r="C34">
        <v>17</v>
      </c>
    </row>
    <row r="35" spans="1:3" x14ac:dyDescent="0.15">
      <c r="A35">
        <f t="shared" ca="1" si="2"/>
        <v>154.84343449090937</v>
      </c>
      <c r="B35">
        <v>182.40746332816877</v>
      </c>
      <c r="C35">
        <v>18</v>
      </c>
    </row>
    <row r="36" spans="1:3" x14ac:dyDescent="0.15">
      <c r="A36">
        <f t="shared" ca="1" si="2"/>
        <v>144.91309386292571</v>
      </c>
      <c r="B36">
        <v>140.99914561316035</v>
      </c>
      <c r="C36">
        <v>19</v>
      </c>
    </row>
    <row r="37" spans="1:3" x14ac:dyDescent="0.15">
      <c r="A37">
        <v>200</v>
      </c>
      <c r="B37">
        <v>200</v>
      </c>
      <c r="C37">
        <v>20</v>
      </c>
    </row>
    <row r="38" spans="1:3" x14ac:dyDescent="0.15">
      <c r="A38">
        <v>100</v>
      </c>
      <c r="B38">
        <v>100</v>
      </c>
      <c r="C38">
        <v>21</v>
      </c>
    </row>
    <row r="39" spans="1:3" x14ac:dyDescent="0.15">
      <c r="A39">
        <f t="shared" ca="1" si="2"/>
        <v>121.43304604289254</v>
      </c>
      <c r="B39">
        <v>103.30400839849587</v>
      </c>
      <c r="C39">
        <v>22</v>
      </c>
    </row>
    <row r="40" spans="1:3" x14ac:dyDescent="0.15">
      <c r="A40">
        <f t="shared" ca="1" si="2"/>
        <v>111.63045724058873</v>
      </c>
      <c r="B40">
        <v>146.71322660112858</v>
      </c>
      <c r="C40">
        <v>23</v>
      </c>
    </row>
    <row r="41" spans="1:3" x14ac:dyDescent="0.15">
      <c r="A41">
        <f t="shared" ca="1" si="2"/>
        <v>171.27350236338387</v>
      </c>
      <c r="B41">
        <v>147.19520228387324</v>
      </c>
      <c r="C41">
        <v>24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>立命館大学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情報基盤課</dc:creator>
  <cp:lastModifiedBy>Yoongho Ahn</cp:lastModifiedBy>
  <dcterms:created xsi:type="dcterms:W3CDTF">2015-06-16T03:56:57Z</dcterms:created>
  <dcterms:modified xsi:type="dcterms:W3CDTF">2015-06-18T09:04:48Z</dcterms:modified>
</cp:coreProperties>
</file>